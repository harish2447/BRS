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733956\Downloads\"/>
    </mc:Choice>
  </mc:AlternateContent>
  <xr:revisionPtr revIDLastSave="0" documentId="13_ncr:1_{DACE8BFB-F726-4326-B50D-CFB681538A63}" xr6:coauthVersionLast="47" xr6:coauthVersionMax="47" xr10:uidLastSave="{00000000-0000-0000-0000-000000000000}"/>
  <bookViews>
    <workbookView xWindow="-110" yWindow="-110" windowWidth="19420" windowHeight="11500" activeTab="2" xr2:uid="{993166A7-D468-4A90-B917-B77C7C564FE0}"/>
  </bookViews>
  <sheets>
    <sheet name="COT" sheetId="3" r:id="rId1"/>
    <sheet name="Review Comments" sheetId="6" r:id="rId2"/>
    <sheet name="Testcase Validation" sheetId="10" r:id="rId3"/>
    <sheet name="Sheet1" sheetId="4" state="hidden" r:id="rId4"/>
    <sheet name="COT_" sheetId="1" state="hidden" r:id="rId5"/>
  </sheets>
  <definedNames>
    <definedName name="_xlnm._FilterDatabase" localSheetId="0" hidden="1">COT!$A$3:$BS$39</definedName>
    <definedName name="_xlnm._FilterDatabase" localSheetId="4" hidden="1">COT_!$A$1:$BL$36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F37" i="3" l="1"/>
  <c r="BF14" i="3"/>
  <c r="BF11" i="3"/>
  <c r="BF9" i="3"/>
  <c r="BF5"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 i="3"/>
  <c r="G7" i="3" l="1"/>
  <c r="G5" i="3"/>
  <c r="G39" i="3"/>
  <c r="G38" i="3"/>
  <c r="G37" i="3"/>
  <c r="G36" i="3"/>
  <c r="G35" i="3"/>
  <c r="G33" i="3"/>
  <c r="G34" i="3"/>
  <c r="G31" i="3"/>
  <c r="G32" i="3"/>
  <c r="G29" i="3"/>
  <c r="G30" i="3"/>
  <c r="G26" i="3"/>
  <c r="G27" i="3"/>
  <c r="G28" i="3"/>
  <c r="G22" i="3"/>
  <c r="G23" i="3"/>
  <c r="G24" i="3"/>
  <c r="G25" i="3"/>
  <c r="G20" i="3"/>
  <c r="G21" i="3"/>
  <c r="G18" i="3"/>
  <c r="G19" i="3"/>
  <c r="G17" i="3"/>
  <c r="G16" i="3"/>
  <c r="G15" i="3"/>
  <c r="G14" i="3"/>
  <c r="G13" i="3"/>
  <c r="G12" i="3"/>
  <c r="G11" i="3"/>
  <c r="G10" i="3"/>
  <c r="G9" i="3"/>
  <c r="G8" i="3"/>
  <c r="G6" i="3"/>
  <c r="G4" i="3"/>
  <c r="B11"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4" i="1"/>
  <c r="B36" i="1" l="1"/>
  <c r="B35" i="1"/>
  <c r="B34" i="1"/>
  <c r="B33" i="1"/>
  <c r="B32" i="1"/>
  <c r="B31" i="1"/>
  <c r="B30" i="1"/>
  <c r="B29" i="1"/>
  <c r="B28" i="1"/>
  <c r="B27" i="1"/>
  <c r="B26" i="1"/>
  <c r="B25" i="1"/>
  <c r="B24" i="1"/>
  <c r="B23" i="1"/>
  <c r="B22" i="1"/>
  <c r="B21" i="1"/>
  <c r="B20" i="1"/>
  <c r="B19" i="1"/>
  <c r="B18" i="1"/>
  <c r="B17" i="1"/>
  <c r="B16" i="1"/>
  <c r="B15" i="1"/>
  <c r="B14" i="1"/>
  <c r="B13" i="1"/>
  <c r="B12" i="1"/>
  <c r="B10" i="1"/>
  <c r="B9" i="1"/>
  <c r="B8" i="1"/>
  <c r="B7" i="1"/>
  <c r="B6" i="1"/>
  <c r="B5" i="1"/>
  <c r="B4" i="1"/>
</calcChain>
</file>

<file path=xl/sharedStrings.xml><?xml version="1.0" encoding="utf-8"?>
<sst xmlns="http://schemas.openxmlformats.org/spreadsheetml/2006/main" count="5623" uniqueCount="636">
  <si>
    <t>S.No</t>
  </si>
  <si>
    <t>TOM ID</t>
  </si>
  <si>
    <t>Pre-requisite</t>
  </si>
  <si>
    <t>Condition</t>
  </si>
  <si>
    <t>Customer Segment</t>
  </si>
  <si>
    <t>Customer Type</t>
  </si>
  <si>
    <t>SSO/MSO</t>
  </si>
  <si>
    <t>Exising Wholesaler</t>
  </si>
  <si>
    <t>Existing Technology</t>
  </si>
  <si>
    <t>Base Proposition</t>
  </si>
  <si>
    <t>Base Plan</t>
  </si>
  <si>
    <t>Base Plan speed</t>
  </si>
  <si>
    <t>Exisiting Modem</t>
  </si>
  <si>
    <t>Exisiting eSLA</t>
  </si>
  <si>
    <t>Available Wholesaler</t>
  </si>
  <si>
    <t>Technology</t>
  </si>
  <si>
    <t>Preferred Wholesaler</t>
  </si>
  <si>
    <t>Override Wholesaler</t>
  </si>
  <si>
    <t>NDC</t>
  </si>
  <si>
    <t>Appointment Required?</t>
  </si>
  <si>
    <t>Demand Type</t>
  </si>
  <si>
    <t>Service Class</t>
  </si>
  <si>
    <t>Port Status- Copper Pair Status</t>
  </si>
  <si>
    <t>Port Status- NBN Status</t>
  </si>
  <si>
    <t>Enhanced SQ Check</t>
  </si>
  <si>
    <t>Selected Port</t>
  </si>
  <si>
    <t>Order Availability</t>
  </si>
  <si>
    <t>Transfer Type</t>
  </si>
  <si>
    <t>Order Type</t>
  </si>
  <si>
    <t>New Wholesaler</t>
  </si>
  <si>
    <t>New Technology</t>
  </si>
  <si>
    <t>Fibre Eligible</t>
  </si>
  <si>
    <t>MAS</t>
  </si>
  <si>
    <t>Resource MAS</t>
  </si>
  <si>
    <t>NTD Type</t>
  </si>
  <si>
    <t>NTD Version</t>
  </si>
  <si>
    <t>Total Capacity</t>
  </si>
  <si>
    <t>Remaining ntdbandwidth</t>
  </si>
  <si>
    <t>Plan Filteration</t>
  </si>
  <si>
    <t>MAS Warning</t>
  </si>
  <si>
    <t>Target Proposition</t>
  </si>
  <si>
    <t>Target Plan</t>
  </si>
  <si>
    <t>Target Plan Speed</t>
  </si>
  <si>
    <t>Target Modem</t>
  </si>
  <si>
    <t>e-config</t>
  </si>
  <si>
    <t>4G Backup MBB SIM</t>
  </si>
  <si>
    <t>Modem In Stock / Out of Stock</t>
  </si>
  <si>
    <t>ACS Provisioning</t>
  </si>
  <si>
    <t>Modem Option</t>
  </si>
  <si>
    <t>Contract Term</t>
  </si>
  <si>
    <t>Channel</t>
  </si>
  <si>
    <t>Landing Page</t>
  </si>
  <si>
    <t xml:space="preserve">Accessories </t>
  </si>
  <si>
    <t>Accessories Stock Availability</t>
  </si>
  <si>
    <t>Shipment Address</t>
  </si>
  <si>
    <t>Shipment Notification</t>
  </si>
  <si>
    <t>Shipment Preference</t>
  </si>
  <si>
    <t>Validations</t>
  </si>
  <si>
    <t>TC's Split</t>
  </si>
  <si>
    <t>TC Count</t>
  </si>
  <si>
    <t>Voice SIMO</t>
  </si>
  <si>
    <t>MBB</t>
  </si>
  <si>
    <t>Fixed</t>
  </si>
  <si>
    <t>FWA</t>
  </si>
  <si>
    <t>Scenario</t>
  </si>
  <si>
    <t>Quote Created &amp; Resume ?</t>
  </si>
  <si>
    <t>Create order from Quote</t>
  </si>
  <si>
    <t>NA</t>
  </si>
  <si>
    <t>Yes</t>
  </si>
  <si>
    <t>N</t>
  </si>
  <si>
    <t>Y</t>
  </si>
  <si>
    <t>Consumer - Person</t>
  </si>
  <si>
    <t>Existing</t>
  </si>
  <si>
    <t>SSO</t>
  </si>
  <si>
    <t>Vision</t>
  </si>
  <si>
    <t>Transact HFC</t>
  </si>
  <si>
    <t>Vodafone Vision Proposition Apr 2025</t>
  </si>
  <si>
    <t>Unlimited Vision Max plan</t>
  </si>
  <si>
    <t>1000/50</t>
  </si>
  <si>
    <t>BYO</t>
  </si>
  <si>
    <t>Vision, Opticomm</t>
  </si>
  <si>
    <t>FTTP</t>
  </si>
  <si>
    <t>Opticomm</t>
  </si>
  <si>
    <t>No</t>
  </si>
  <si>
    <t>Y-12M</t>
  </si>
  <si>
    <t>SC1</t>
  </si>
  <si>
    <t>No Ports</t>
  </si>
  <si>
    <t>Not Required</t>
  </si>
  <si>
    <t>No ports</t>
  </si>
  <si>
    <t>New</t>
  </si>
  <si>
    <t>COT Across NW</t>
  </si>
  <si>
    <t>NBN</t>
  </si>
  <si>
    <t>1000/100</t>
  </si>
  <si>
    <t>2000/200</t>
  </si>
  <si>
    <t>INTERNAL</t>
  </si>
  <si>
    <t>V1</t>
  </si>
  <si>
    <t>Essential nbn
Essential+ nbn
Home Fast nbn
Home Fast+ nbn 
Home Superfast nbn
Home Ultrafast nbn</t>
  </si>
  <si>
    <t>Vodafone Consumer nbn Proposition Jul 2026 </t>
  </si>
  <si>
    <t>Home Superfast nbn</t>
  </si>
  <si>
    <t>750/50</t>
  </si>
  <si>
    <t>Siebel-Care</t>
  </si>
  <si>
    <t>Coverage Check Page</t>
  </si>
  <si>
    <t>Y-24M</t>
  </si>
  <si>
    <t>SC2</t>
  </si>
  <si>
    <t>1_PORT</t>
  </si>
  <si>
    <t>V3</t>
  </si>
  <si>
    <t>As per data</t>
  </si>
  <si>
    <t>Home Fast+ nbn</t>
  </si>
  <si>
    <t>500/50</t>
  </si>
  <si>
    <t>Vodafone Opticomm Proposition Feb 2026</t>
  </si>
  <si>
    <t>Opticomm 25</t>
  </si>
  <si>
    <t>25/10</t>
  </si>
  <si>
    <t>SC3</t>
  </si>
  <si>
    <t>All (4)Ports used - 1 NTD
D1- Used
D2- Used
D3- Used
D4- Used</t>
  </si>
  <si>
    <t>Required-Unknown AVC ID**</t>
  </si>
  <si>
    <t>Used port</t>
  </si>
  <si>
    <t>Available for Transfer
Available for Transfer
Available for Transfer
Available for Transfer</t>
  </si>
  <si>
    <t>Belongs to Customer</t>
  </si>
  <si>
    <t>Vodafone Consumer nbn proposition jul 2026</t>
  </si>
  <si>
    <t>VHA for Me – $10 VIP Credit</t>
  </si>
  <si>
    <t>Siebel-Retail</t>
  </si>
  <si>
    <t>Opticomm 100</t>
  </si>
  <si>
    <t>100/20</t>
  </si>
  <si>
    <t>Arcadyan</t>
  </si>
  <si>
    <t>Required-AVC ID</t>
  </si>
  <si>
    <t>Reuse Modem</t>
  </si>
  <si>
    <t>Carry Forward</t>
  </si>
  <si>
    <t>Instock</t>
  </si>
  <si>
    <t>Business-Sole Trader</t>
  </si>
  <si>
    <t>4G</t>
  </si>
  <si>
    <t>4G Home Broadband Proposition Aug 2024</t>
  </si>
  <si>
    <t>4G Plan</t>
  </si>
  <si>
    <t>14/2</t>
  </si>
  <si>
    <t>TP Link</t>
  </si>
  <si>
    <t>NBN, Opticomm</t>
  </si>
  <si>
    <t>Yes to NBN</t>
  </si>
  <si>
    <t>All (4) Ports free - 1 NTD
D1- Free
D2- Free
D3- Free
D4- Free</t>
  </si>
  <si>
    <t>Free Port</t>
  </si>
  <si>
    <t>Available for New Connect</t>
  </si>
  <si>
    <t>4_PORT</t>
  </si>
  <si>
    <t>V4</t>
  </si>
  <si>
    <t>Vodafone Business nbn proposition jul 2026</t>
  </si>
  <si>
    <t>Standard -&gt; Enhance 12</t>
  </si>
  <si>
    <t>New Modem</t>
  </si>
  <si>
    <t>ETC &amp; New contract</t>
  </si>
  <si>
    <t>Opticomm 12</t>
  </si>
  <si>
    <t>12/1</t>
  </si>
  <si>
    <t>Opticomm,NBN</t>
  </si>
  <si>
    <t>HFC</t>
  </si>
  <si>
    <t>SC21</t>
  </si>
  <si>
    <t>Vodafone Business nbn Proposition Jul 2026 </t>
  </si>
  <si>
    <t>eSLA12 (Default)</t>
  </si>
  <si>
    <t>Outstock</t>
  </si>
  <si>
    <t>Same as Primary</t>
  </si>
  <si>
    <t>TXT</t>
  </si>
  <si>
    <t>Full</t>
  </si>
  <si>
    <t>5G</t>
  </si>
  <si>
    <t>5G Home Broadband Proposition Jul 2025</t>
  </si>
  <si>
    <t>5G Plan Premium</t>
  </si>
  <si>
    <t>100/18</t>
  </si>
  <si>
    <t>SC24</t>
  </si>
  <si>
    <t>All Ports(1) Used - 1 NTD
D1- Used</t>
  </si>
  <si>
    <t>Available for Transfer</t>
  </si>
  <si>
    <t xml:space="preserve">Business - Ultrafast nbn </t>
  </si>
  <si>
    <t>Standard -&gt; Enhance 4</t>
  </si>
  <si>
    <t>FTTC</t>
  </si>
  <si>
    <t>Y-Once Off</t>
  </si>
  <si>
    <t>Standard install</t>
  </si>
  <si>
    <t>SC32</t>
  </si>
  <si>
    <t>Active - 1 CPI</t>
  </si>
  <si>
    <t>Required-FNN/ULL</t>
  </si>
  <si>
    <t>Active CPI</t>
  </si>
  <si>
    <t>Available for Transition</t>
  </si>
  <si>
    <t>Default Mas 100/20</t>
  </si>
  <si>
    <t>Essential NBN
Essential + NBN
Homefast</t>
  </si>
  <si>
    <t>Essential NBN - No Warning Message
Essential + NBN - No Warning Message
HomeFast- No Warning Message</t>
  </si>
  <si>
    <t>Home Fast nbn</t>
  </si>
  <si>
    <t>5G Plan Plus</t>
  </si>
  <si>
    <t>50/16</t>
  </si>
  <si>
    <t>SC33</t>
  </si>
  <si>
    <t>Active - 1 CPI
Inactive - 1 CPI</t>
  </si>
  <si>
    <t>35-50/11-2</t>
  </si>
  <si>
    <t>Essential NBN
Essential + NBN</t>
  </si>
  <si>
    <t>Essential NBN - No Warning Message
Essential + NBN - Warning Message</t>
  </si>
  <si>
    <t>Business Essential nbn</t>
  </si>
  <si>
    <t xml:space="preserve">VHA NBN Ad Hoc Discounts :
100% Discount on Fixed Broadband Access Fee. </t>
  </si>
  <si>
    <t>ETC</t>
  </si>
  <si>
    <t>FTTBW FTTB</t>
  </si>
  <si>
    <t>Unlimited Vision 100 plan</t>
  </si>
  <si>
    <t>100/40</t>
  </si>
  <si>
    <t>FTTB</t>
  </si>
  <si>
    <t>SC11</t>
  </si>
  <si>
    <t>No CPI</t>
  </si>
  <si>
    <t>64-72/14-20</t>
  </si>
  <si>
    <t>Essential NBN - No Warning Message
Essential + NBN - No Warning Message
HomeFast- Warning Message</t>
  </si>
  <si>
    <t>New Contract</t>
  </si>
  <si>
    <t>Email</t>
  </si>
  <si>
    <t>Business- Soletrader</t>
  </si>
  <si>
    <t>FTTB Gfast</t>
  </si>
  <si>
    <t>SC12</t>
  </si>
  <si>
    <t>Belongs to customer</t>
  </si>
  <si>
    <t>Business Essential+ nbn</t>
  </si>
  <si>
    <t>50/20</t>
  </si>
  <si>
    <t>VHA NBN Subscription Discounts :
Subscription level X$ discount on nbn Recurring Charges</t>
  </si>
  <si>
    <t>Y-Onceoff</t>
  </si>
  <si>
    <t>SC13
SC12</t>
  </si>
  <si>
    <t>Active - 1 CPI
NA</t>
  </si>
  <si>
    <t>Essential+ nbn</t>
  </si>
  <si>
    <t>TRANSACT-FTTN-VDSL-gfast</t>
  </si>
  <si>
    <t>Y-12m</t>
  </si>
  <si>
    <t>FTTN</t>
  </si>
  <si>
    <t>26-44/11-2</t>
  </si>
  <si>
    <t xml:space="preserve">Standard SLA (Default) </t>
  </si>
  <si>
    <t>Opticomm, NBN</t>
  </si>
  <si>
    <t>SC12
SC13</t>
  </si>
  <si>
    <t>NA
Line in use - 1 CPI</t>
  </si>
  <si>
    <t>Line in Use CPI</t>
  </si>
  <si>
    <t>Available for Transition
Available for Transfer</t>
  </si>
  <si>
    <t>Essential nbn</t>
  </si>
  <si>
    <t>eSLA4</t>
  </si>
  <si>
    <t>NBN, Wireless(4G&amp;5G available)</t>
  </si>
  <si>
    <t>4G FWA and 5G FWA plans available</t>
  </si>
  <si>
    <t>Pre-provisioned</t>
  </si>
  <si>
    <t>NBN, Wireless(4G available)</t>
  </si>
  <si>
    <t>Yes - FWA Overide to 5G**</t>
  </si>
  <si>
    <t>5G FWA plans available</t>
  </si>
  <si>
    <t>5G Plan Basic</t>
  </si>
  <si>
    <t>19/2</t>
  </si>
  <si>
    <t>NBN, Wireless(5G available)</t>
  </si>
  <si>
    <t>Yes - FWA Overide to 4G**</t>
  </si>
  <si>
    <t>4G FWA plans available</t>
  </si>
  <si>
    <t>Opticomm 1000</t>
  </si>
  <si>
    <t>Business-Sole Trader - Retrieve only Business Plan Option in Address search</t>
  </si>
  <si>
    <t xml:space="preserve">25/10  </t>
  </si>
  <si>
    <t xml:space="preserve">Standard </t>
  </si>
  <si>
    <t>Transact FTTN</t>
  </si>
  <si>
    <t>TRANSACT-FTTN-VDSL-Non gfast</t>
  </si>
  <si>
    <t>Vision Unlimited25 - 25/4
Vision 50 plan  - 50/20
Vision 100 plan - 100/25</t>
  </si>
  <si>
    <t>Vision 100</t>
  </si>
  <si>
    <t>100/25</t>
  </si>
  <si>
    <t>Vision,NBN</t>
  </si>
  <si>
    <t>Yes to Vision</t>
  </si>
  <si>
    <t>Vision Unlimited25 - 25/4
Vision 50 plan  - 50/20
Vision 100 plan - 100/25
Vision Max - 500/25</t>
  </si>
  <si>
    <t>Vision Max</t>
  </si>
  <si>
    <t>500/25</t>
  </si>
  <si>
    <t>Vodafone Consumer nbn proposition jul 2026**</t>
  </si>
  <si>
    <t>Business - Fast+ nbn</t>
  </si>
  <si>
    <t>eSLA12</t>
  </si>
  <si>
    <t>FTTBW-FTTB-VDSL-Non gfast</t>
  </si>
  <si>
    <t xml:space="preserve">Vision 100 plan </t>
  </si>
  <si>
    <t>Opticomm 250</t>
  </si>
  <si>
    <t>250/25</t>
  </si>
  <si>
    <t>Opticomm,Vision</t>
  </si>
  <si>
    <t>FTTBW-FTTH-Non gfast</t>
  </si>
  <si>
    <t>Vision Unlimited25</t>
  </si>
  <si>
    <t>25/4</t>
  </si>
  <si>
    <t>VHA Staff Credit - $10 Staff credit</t>
  </si>
  <si>
    <t xml:space="preserve">Stay Connected Staff Opticomm Proposition Jan 2026 </t>
  </si>
  <si>
    <t>Opticomm 500 Staff Plan</t>
  </si>
  <si>
    <t>Vision 50</t>
  </si>
  <si>
    <t>NBN,Vision</t>
  </si>
  <si>
    <t>Vision 50 plan</t>
  </si>
  <si>
    <t>Vision 100 staff plan
Vision Max Staff Plan</t>
  </si>
  <si>
    <t>Vodafone Vision Staff Proposition Jan 2026</t>
  </si>
  <si>
    <t>Vision 100 Staff Plan</t>
  </si>
  <si>
    <t>FTTBW FTTB-VSDL gfast</t>
  </si>
  <si>
    <t>FTTBW-FTTB-VDSL-gfast</t>
  </si>
  <si>
    <t>500/20</t>
  </si>
  <si>
    <t>Y-NDC -Onceoff</t>
  </si>
  <si>
    <t>Opticomm 12 
Opticomm 25
Opticomm 50
Opticomm 100</t>
  </si>
  <si>
    <t>Used</t>
  </si>
  <si>
    <t>Required</t>
  </si>
  <si>
    <t>Opticomm 12 
Opticomm 25
Opticomm 50
Opticomm 100
Opticomm 500</t>
  </si>
  <si>
    <t>Opticomm 50</t>
  </si>
  <si>
    <t>VHA Staff Credit - $20 Staff credit</t>
  </si>
  <si>
    <t>SC5</t>
  </si>
  <si>
    <t>Free</t>
  </si>
  <si>
    <t>Opticomm 100 staff plan
Opticomm 500 staff plan
Opticomm 750 staff plan
Opticomm 1000 staff plan</t>
  </si>
  <si>
    <t>NBN,Opticomm</t>
  </si>
  <si>
    <t>New -Internal Loss (Legacy iiNET to VF(iiNet to VHA)</t>
  </si>
  <si>
    <t>Y-NCC-12m</t>
  </si>
  <si>
    <t>eSLA Addons</t>
  </si>
  <si>
    <t>Y -Onceoff</t>
  </si>
  <si>
    <t>SC1/SC2</t>
  </si>
  <si>
    <t>Business - Profast nbn</t>
  </si>
  <si>
    <t>Standard (Default) -&gt; enhance 12</t>
  </si>
  <si>
    <t>Business - Superfast+ nbn</t>
  </si>
  <si>
    <t>250/100</t>
  </si>
  <si>
    <t xml:space="preserve">Home Ultrafast nbn </t>
  </si>
  <si>
    <t>x1 CPI Active</t>
  </si>
  <si>
    <t>Business Fast + nbn</t>
  </si>
  <si>
    <t>x2 CPI SC13 Line In Use, SC12 Active</t>
  </si>
  <si>
    <t>Belongs to Other</t>
  </si>
  <si>
    <t>Home Fast nbn </t>
  </si>
  <si>
    <t>Standard Install</t>
  </si>
  <si>
    <t>SIM change</t>
  </si>
  <si>
    <t>accessories &amp; werables purchase</t>
  </si>
  <si>
    <t>NDC/NCC</t>
  </si>
  <si>
    <t>Exisiting eConfig</t>
  </si>
  <si>
    <t>SSJ PLP Journey</t>
  </si>
  <si>
    <t>SSJ PLP Page</t>
  </si>
  <si>
    <t>If the Retrieve NBN Business Plan checkbox is enabled then only the Business proposition &amp; plans should get displayed in PLP Page)</t>
  </si>
  <si>
    <t xml:space="preserve">Validate that ESLA under the E-configurator Page(configure service under edit button) </t>
  </si>
  <si>
    <t xml:space="preserve">            a. Default ESLA should get retrieved with amount</t>
  </si>
  <si>
    <t xml:space="preserve">             b. ESLA should get displayed with amount for respective plan selected</t>
  </si>
  <si>
    <t xml:space="preserve">             c. ESLA amount get changed if there was any changes with ESLA </t>
  </si>
  <si>
    <t xml:space="preserve">     d. Agent/User allowed to add discounts/credits under e-config and selected discounts/credits should be updated in cart and purchase &amp; offers details page</t>
  </si>
  <si>
    <t>Vodafone Consumer nbn Proposition Apr 2025**</t>
  </si>
  <si>
    <t>Essential+ plan</t>
  </si>
  <si>
    <t>Prepayment</t>
  </si>
  <si>
    <t>NBN, Vision</t>
  </si>
  <si>
    <t>NBN, Wireless(4G available &amp; 5G not available)</t>
  </si>
  <si>
    <t>4G Backup MBB SIM/FWA SIM</t>
  </si>
  <si>
    <t>FWA SIM</t>
  </si>
  <si>
    <t>Home Ultrafast nbn </t>
  </si>
  <si>
    <t>NBN, FWA</t>
  </si>
  <si>
    <t>Vision, FWA</t>
  </si>
  <si>
    <t>Opticomm, FWA</t>
  </si>
  <si>
    <t>NBN, Wireless(4G available &amp; 5G  available)</t>
  </si>
  <si>
    <t>Vision ,Wireless(4G available &amp; 5G  available)</t>
  </si>
  <si>
    <t>Vision, NBN</t>
  </si>
  <si>
    <t>Vision,Opticomm</t>
  </si>
  <si>
    <t>Transact  FTTN VDSL  Gfast</t>
  </si>
  <si>
    <t>TRANSACT-FTTN-VDSL-non gfast</t>
  </si>
  <si>
    <t>FTTBW FTTB VDSL- non gfast</t>
  </si>
  <si>
    <t>FTTBW FTTB VDSL-  gfast</t>
  </si>
  <si>
    <t>Unlimited Vision 50 plan</t>
  </si>
  <si>
    <t>Unlimited Vision 25 plan</t>
  </si>
  <si>
    <t>FTTBW FTTB VDSL Non Gfast</t>
  </si>
  <si>
    <t>Wireless(4G &amp;5G available),Vision</t>
  </si>
  <si>
    <t>Opticomm,Wireless(4G available &amp; 5G not available)</t>
  </si>
  <si>
    <t>Opticomm, Wireless(4G not available &amp; 5G available)</t>
  </si>
  <si>
    <t>Vision,Wireless(4G available &amp; 5G  available)</t>
  </si>
  <si>
    <t>Opticomm, Wireless(4G available &amp; 5G  available)</t>
  </si>
  <si>
    <t>Non EU Jumper Only</t>
  </si>
  <si>
    <t>All Ports (4) used -1 NTD
D1- Used
D2- Used
D3- Used
D4- Used</t>
  </si>
  <si>
    <t>Required- AVC ID</t>
  </si>
  <si>
    <t>COT Across NW -  Connect Outstanding</t>
  </si>
  <si>
    <t>Belongs to other</t>
  </si>
  <si>
    <t>COT Across NW - Internal Loss (TPG to VF)</t>
  </si>
  <si>
    <t>COT Across NW - Service Transfer</t>
  </si>
  <si>
    <t>COT Across NW-Connect Outstanding  Transition</t>
  </si>
  <si>
    <t>COT Across NW- Internal Loss (Kogan to VF)</t>
  </si>
  <si>
    <t xml:space="preserve">New </t>
  </si>
  <si>
    <t>COT Across NW- Service Transition</t>
  </si>
  <si>
    <t>SC13
SC13</t>
  </si>
  <si>
    <t>NA
NA</t>
  </si>
  <si>
    <t>Line not in use - 1 CPI
Line in use - 1 CPI</t>
  </si>
  <si>
    <t>Available for Transfer
Available for Transfer</t>
  </si>
  <si>
    <t xml:space="preserve">Belongs to Customer </t>
  </si>
  <si>
    <t>SC34
SC34</t>
  </si>
  <si>
    <t>Line in use -1 CPI
Line not in use - 1 CPI</t>
  </si>
  <si>
    <t>Available for Transfer
Available for New Connect</t>
  </si>
  <si>
    <t>COT Across NW- Connect outstanding</t>
  </si>
  <si>
    <t>COT Across NW- Internal Loss (TPG to VF)</t>
  </si>
  <si>
    <t>COT Across NW -Internal Loss (Legacy iiNET to VF(iiNet to VHA)</t>
  </si>
  <si>
    <t>500/50*</t>
  </si>
  <si>
    <t>Yes - FWA Overide **</t>
  </si>
  <si>
    <t>NBN, Wireless(4G available &amp; 5G not  available)</t>
  </si>
  <si>
    <t>4G FWA  plans available</t>
  </si>
  <si>
    <t xml:space="preserve">Essential nbn
Essential+ nbn
Home Fast nbn
Home Fast+ nbn </t>
  </si>
  <si>
    <t>Landing Page - SSJ</t>
  </si>
  <si>
    <t>1 TC for Quote
1 TC for Fulfilment
1 TC for Post verification - Siebel 
1 TC for Post Verification - Other Systems
1 TC for Invoices</t>
  </si>
  <si>
    <t>Account Overview</t>
  </si>
  <si>
    <t>Exisiting Accessories</t>
  </si>
  <si>
    <t>Existing Secondary Device</t>
  </si>
  <si>
    <t>Existing Wearables</t>
  </si>
  <si>
    <t>Mesh1</t>
  </si>
  <si>
    <t>Mesh1 + Mesh 2</t>
  </si>
  <si>
    <t>Mesh1+Mesh 2</t>
  </si>
  <si>
    <t>Mesh 1</t>
  </si>
  <si>
    <t>Mesh 1+ Mesh 2</t>
  </si>
  <si>
    <t>Any 1</t>
  </si>
  <si>
    <t>Any 2</t>
  </si>
  <si>
    <t>Any1</t>
  </si>
  <si>
    <t xml:space="preserve"> Secondary Device</t>
  </si>
  <si>
    <t xml:space="preserve"> Accessories</t>
  </si>
  <si>
    <t xml:space="preserve"> Secondary Device Stock Availability</t>
  </si>
  <si>
    <t xml:space="preserve"> Wearables</t>
  </si>
  <si>
    <t>Wearables Availability</t>
  </si>
  <si>
    <t>Add Mesh 1+ Mesh 2</t>
  </si>
  <si>
    <t>Add Mesh 1</t>
  </si>
  <si>
    <t>Retain- Mesh1 + Add Mesh 2</t>
  </si>
  <si>
    <t>Retain Mesh 1</t>
  </si>
  <si>
    <t>Add Mesh1</t>
  </si>
  <si>
    <t>Add 1</t>
  </si>
  <si>
    <t>Add 1 + Add 2</t>
  </si>
  <si>
    <t>Out of Stock</t>
  </si>
  <si>
    <t>Any 1 with device care</t>
  </si>
  <si>
    <t>Any 1 without  device care</t>
  </si>
  <si>
    <t>Add 1 with device care</t>
  </si>
  <si>
    <t>Add 1 without device care</t>
  </si>
  <si>
    <t>System mandated Payout existing Mesh 1</t>
  </si>
  <si>
    <t>Retain Mesh1 + Mesh 2</t>
  </si>
  <si>
    <t>System mandated Payout existing Mesh 1 and mesh 2</t>
  </si>
  <si>
    <t>4G Backup SIM</t>
  </si>
  <si>
    <t>Review Comments</t>
  </si>
  <si>
    <t>Provided By</t>
  </si>
  <si>
    <t>Provided On</t>
  </si>
  <si>
    <t>Status</t>
  </si>
  <si>
    <t>Action Owner</t>
  </si>
  <si>
    <t>Expected Version</t>
  </si>
  <si>
    <t>Gopala</t>
  </si>
  <si>
    <t>To be covered in 'miscellaneous'  module</t>
  </si>
  <si>
    <t>Open</t>
  </si>
  <si>
    <t>Testing Team</t>
  </si>
  <si>
    <t xml:space="preserve">Business to Consumer - COT eligibility check &amp; restriction </t>
  </si>
  <si>
    <t>Vision - TP link modem is preprovisioned with 4G Backup SIM. Add 4G Backup SIM to Vision TPLink modem</t>
  </si>
  <si>
    <t>Updated column' AZ'</t>
  </si>
  <si>
    <t>Closed</t>
  </si>
  <si>
    <t>V0.2</t>
  </si>
  <si>
    <t>Overlap period for FBB &amp; FWA COT</t>
  </si>
  <si>
    <t>Gauri</t>
  </si>
  <si>
    <t>Overlap Period for connection</t>
  </si>
  <si>
    <t>14 days</t>
  </si>
  <si>
    <t>0 day</t>
  </si>
  <si>
    <t>FBB to FWA COT- 14 days ; Updated Column BM</t>
  </si>
  <si>
    <t>Handset matrix for  Modem Compatibility with Plan - Modify and test it one scenario if its working as per Matrixx , not hard coded one</t>
  </si>
  <si>
    <t>Praveen M</t>
  </si>
  <si>
    <t>Testing Comments</t>
  </si>
  <si>
    <t>ETC Calculation-  Any difference of EEF model field required for Fixed than Mobile in Figma</t>
  </si>
  <si>
    <t>Praveen M: Same mobile EEF will work,Need to validate the line items and value in Order review-charges table</t>
  </si>
  <si>
    <t>Cart display for different combination of COT</t>
  </si>
  <si>
    <t xml:space="preserve">Gauri, Praveen </t>
  </si>
  <si>
    <t>If Existing modem is incompatible with the selected plan and user doesn’t change the modem, Any popup/warning to force User to select the new modem . If yes, what would be the flow for Existing incompatible modem → BYO?</t>
  </si>
  <si>
    <t>Testing team</t>
  </si>
  <si>
    <t>Sarah</t>
  </si>
  <si>
    <t>Proposition: ESIM Option is available for Fixed Products details section in Figma. 
But all the 4G Backup SIM and FWA SIMs are physical SIM, Option shouldn't be available for esim</t>
  </si>
  <si>
    <t>Scenario: Change of Technology - Reuse Modem
Figma provide option to select Physical SIM. But we shouldn’t have option to select/modify Physical SIM while reusing modem. Please check.</t>
  </si>
  <si>
    <t>Accessories /Wearables other than Mesh is applicable for Fixed services ? If yes while performing COT, what is the expectation</t>
  </si>
  <si>
    <t>Testing SMEs confirmed that its applicable and all the APPs are forced to pay OUT. Will be tested it in TBUI and double confirm</t>
  </si>
  <si>
    <t>V0.3</t>
  </si>
  <si>
    <t>System mandated Payout existing one</t>
  </si>
  <si>
    <t>Testcase Steps</t>
  </si>
  <si>
    <t>COT NBN - Copper</t>
  </si>
  <si>
    <t>COT NBN - Fibre</t>
  </si>
  <si>
    <t xml:space="preserve">COT- Service Transfer- Copper </t>
  </si>
  <si>
    <t xml:space="preserve">COT- Service Transfer- Fibre </t>
  </si>
  <si>
    <t xml:space="preserve">COT- Connect Outstanding- Copper </t>
  </si>
  <si>
    <t xml:space="preserve">COT- Connect Outstanding- Fibre </t>
  </si>
  <si>
    <t>COT NBN - Internal loss (within VF stack - e.g Kogan to VF) - Copper</t>
  </si>
  <si>
    <t>COT NBN - Internal loss (within VF stack - e.g Kogan to VF) - Fibre</t>
  </si>
  <si>
    <t>COT NBN - Internal loss (Legacy to VF stack - e.g TPG to VF)-  Copper</t>
  </si>
  <si>
    <t>COT NBN - Internal loss (Legacy to VF stack - e.g TPG to VF)- Fibre</t>
  </si>
  <si>
    <t>COT NBN - Service Transfer Reversal- Copper</t>
  </si>
  <si>
    <t>COT NBN - Service Transfer Reversal-  Fibre</t>
  </si>
  <si>
    <t>COT Vision - Vision Gfast</t>
  </si>
  <si>
    <t>COT Vision - Vision Non Gfast</t>
  </si>
  <si>
    <t xml:space="preserve">COT Opticomm </t>
  </si>
  <si>
    <t>COT Opticomm - Service Transfer</t>
  </si>
  <si>
    <t>COT Opticomm - Internal Loss (Legacy iiNET to VF(iiNet to VHA)</t>
  </si>
  <si>
    <t>COT Opticomm - Internal Loss Internal Loss (VHA to iiNet)</t>
  </si>
  <si>
    <t>COT FWA</t>
  </si>
  <si>
    <t>Validate 'Change of Technology' Button in Existing Customer - Account Overview Page</t>
  </si>
  <si>
    <t>Change of Technology' button should be available only for the Fixed customer with segment- Consumer; It shouldnot be displayed for mobile customer or Fixed Business customer</t>
  </si>
  <si>
    <t>SSJ Coverage Check Journey</t>
  </si>
  <si>
    <t xml:space="preserve">Validate 'Retrieve NBN Business plan only ' check box functionality in Quote address Search
</t>
  </si>
  <si>
    <t>Not Applicable; User should not navigate to this page while clicking 'Change of Technology' button from Account Overview Page</t>
  </si>
  <si>
    <t xml:space="preserve">Validate 'Address Search' and One SQ request  in Quote address Search
</t>
  </si>
  <si>
    <t>Validate 'Edit PLP Page Navigation' after clicking 'Change of Technology' button  in Quote</t>
  </si>
  <si>
    <t xml:space="preserve">•   Validate that User should navigate to Edit PLP page of the service to which COT is clicked
•    Validate the banner message should be dispalyed in top as 
" You are editing 611********
* Plan + Prop name"
•   Service should shown as' Currently editing' in Cart
</t>
  </si>
  <si>
    <t xml:space="preserve">Validate 'Coverage Details' and One SQ request  in Quote Edit PLP Page
</t>
  </si>
  <si>
    <t xml:space="preserve">•   Validate that coverage check result should be displayed under Coverage check section in Fixed PLP page 
•    Service Address coverage details should be pre-populated with exisiting address details.
•    Option to change address should not  be available
•    OneSQ request should be triggered in the backend and coverage results should be displayed 				</t>
  </si>
  <si>
    <t xml:space="preserve">Validate 'Fixed Wholesaler Coverage'  as per OneSQ response  in Quote Edit PLP Page
</t>
  </si>
  <si>
    <t>b. Fixed line availability status 											
	 Availability: as per OneSQ Response (Eg: NBN-Available with green icon  ; Vision-Not Available with Red icon; Opticomm -Not Available with Red icon 											
	Preferred Wholesaler:  As per the priority set in One SQ - Current Priority is Opticomm, NBN , Vision (Eg: Preferred wholesaler - Opticomm )
* If more than one wholesaler available in the location , then select wholesaler dropdown button should be available with available wholesaler list(based on preferred wholesaler) if user has the resposibility to override wholesaler. If user doesn't have the responsibility, Override wholesaler button should not be available even though multiple wholesaler are available</t>
  </si>
  <si>
    <t xml:space="preserve">Validate 'Fixed Wholesaler Technology'  as per OneSQ response  in Quote Edit PLP Page
</t>
  </si>
  <si>
    <t>NBN details as per One SQ Response										
		Internet Location Id LOCXXXXXXXXXXXX(Ex: LOC740100003843 )										
		Service Class X										
		Technology Type XXXX										
		New Development (True from One SQ, Then display " $300 Development charge for first time connection"; False from oneSQ, then display blank )		Max Attainable Speed XXXXXX										
		Fiber Upgrade Not Available/Available</t>
  </si>
  <si>
    <t>NBN details as per OneSQ Response											
		Internet Location Id LOCXXXXXXXXXXXX(Ex: LOC740100003843 )										
		Service Class X										
		Technology Type XXXX										
		New Development (True from One SQ, Then display " $300 Development charge for first time connection" , False from oneSQ, then display blank )			Max Attainable Speed XXXXXX										
		Fiber Upgrade Not Available/Available	
NTD Details	( Should be available only if Technology is FTTP/HFC, If its copper technology, this should not be available)											
		No of active service XX  (Eg: 1 out of 4 )										
		Total capacity  XXX Mbps										
		In use   XXX Mbps										
		Remaining XXX Mbps (Siebel should display remaining bandwidth value by calculating Total capacity - In Use)</t>
  </si>
  <si>
    <t>NBN details												
		Internet Location Id LOCXXXXXXXXXXXX(Ex: LOC740100003843 )										
		Service Class X										
		Technology Type XXXX										
		New Development (True from One SQ, Then display " $300 Development charge for first time connection" , False from oneSQ, then display blank )				Max Attainable Speed XXXXXX										
		Fiber Upgrade Not Available/Available</t>
  </si>
  <si>
    <t>Vision details												
		Internet Location Id LOCXXXXXXXXXXXX(Ex: LOC740100003843 )										
		Service Class X										
		Technology Type XXXX										
		New Development (True from One SQ, Then display " $300 Development charge for first time connection" , False from oneSQ, then display blank )				Max Attainable Speed XXXXXX</t>
  </si>
  <si>
    <t>Opticomm details as per OneSQ details												
		Internet Location Id (Ex: OPC740100003843 )										
		Service Class X										
		Technology Type XXXX										
		New Development (True from One SQ, Then display " $300 Development charge for first time connection" , False from oneSQ, then display blank )			
Max Attainable Speed XXXXXX</t>
  </si>
  <si>
    <t>As per the wholesaler availability</t>
  </si>
  <si>
    <t xml:space="preserve">Validate 'Fixed Wireless Coverage '  as per OneSQ response  in Quote Edit PLP Page
</t>
  </si>
  <si>
    <t xml:space="preserve">c. Fixed Wireless availability status as per OneSQ response												
	4G -Not available with  red icon/available with green icon											
	5G NSA -Not available with  red icon/available with green icon
If either any one of the FWA or both FWA coverage are not available,  'Override Coverage Check' button should be visible along with the field for 'FWA override user ID - ' Otherwise it shouldn't be visible.
On clicking the button, both 4G FWA and 5G FWA proposition should be displayed in the next PLP page
* If User has responsibility to override FWA Coverage function,. Button should not be visible for user who doesn't have coverage. </t>
  </si>
  <si>
    <t xml:space="preserve">Validate 'Product sections ' available in Quote Edit PLP Page
</t>
  </si>
  <si>
    <t xml:space="preserve">•   Validate below there tabs are available
  1. Fixed plan &amp; devices
  2. Accessories
  3. Other devices
</t>
  </si>
  <si>
    <t xml:space="preserve">Validate 'Proposition filteration'  logic in Quote Edit PLP Page
</t>
  </si>
  <si>
    <t xml:space="preserve">•   Validate that  fixed proposition should be available in proposition drop down as per the preferred wholesaler and FWA coverage under Fixed plans &amp; devices tab.
1. If the Retrieve NBN Business Plan checkbox is enabled in previous coverage check page then only the Business proposition &amp; plans should get displayed in PLP Page
2. Proposition specific to the preferred wholesaler should be available to search
3. If override coverage check button is clicked , both 4G and 5G FWA proposition should be available even though there is no coverage 
4. If  override coverage check button is not clicked , Onlt  4G / 5G FWA /both proposition should be available as per coverage availability
</t>
  </si>
  <si>
    <t xml:space="preserve">Validate 'Plan filteration'  logic in Quote Edit PLP Page
</t>
  </si>
  <si>
    <t xml:space="preserve">•   Validate that plan should be filtered /displayed based on the wholesaler, proposition ,technology type and MAS value.
1. NBN Copper ( FTTC/FTTN/FTTB) - Plan should be filtered as per estimated MAS along with warning message in plan tiles as per logic 
1a.  As per MAS, plan display and selection should be allowed until one speed tier above highest value of the estimated download speed range
</t>
  </si>
  <si>
    <t xml:space="preserve">•   Validate that plan should be filtered /displayed based on the wholesaler, proposition ,technology type and MAS value.
1. NBN Fibre and HFC  - Plan should be filtered as per MAS </t>
  </si>
  <si>
    <t xml:space="preserve">•   Validate that plan should be filtered /displayed based on the wholesaler, proposition ,technology type and MAS value.
1. Vision  - Plan should be filtered as per MAS </t>
  </si>
  <si>
    <t xml:space="preserve">•   Validate that plan should be filtered /displayed based on the wholesaler, proposition ,technology type and MAS value.
1. Opticomm  - Plan should be filtered as per MAS </t>
  </si>
  <si>
    <t>•   Validate that plan should be filtered /displayed based on the Coverage Availability or 'Override coverage check' button
1a. If override coverage check button is clicked , both 4G and 5G FWA plans should be available even though there is no coverage 
1b. If  override coverage check button is not clicked , Only  4G / 5G FWA /both plans should be available as per coverage availability</t>
  </si>
  <si>
    <t xml:space="preserve">Validate 'Estimated MAS Warning'  logic in Quote Edit PLP Page
</t>
  </si>
  <si>
    <t>•   Validate that plan should be filtered /displayed based on the wholesaler, proposition ,technology type and MAS value.
Warning message: "Discuss possible speed limitations and impacts due to max attainable range "  with Amber warning icon
1. NBN Copper ( FTTC/FTTN/FTTB) - Plan should be filtered as per estimated MAS along with warning message in plan tiles as per logic 
1a.  As per MAS, plan display and selection should be allowed until one speed tier above highest value of the estimated download speed range
1b. If the plan speed is less than the lowest value of the estimated download speed range, no warning message should be displayed in plan tile
1c. If the plan speed is between the range/above than the highest value of the estimated download speed range, warning message should be displayed in plan tile</t>
  </si>
  <si>
    <t>•   Validate that estimated Mas warning messgae should not displayed for this technology</t>
  </si>
  <si>
    <t>Validate 'Show Current Plan' toggle in Plan section</t>
  </si>
  <si>
    <t xml:space="preserve">•  Yellow warning banner above Toggle button should be shown as " Current plan is out of market. An in market plan must be selected before any other changes can be saved"
•   Validate that Toggle is Off by default
•   Validate that below details should be displayed if User manually toggle ON 
1a. Proposition name
1b. Plan name
1c. plan rate/Month
1d. Download XX mbps
1e. Upload XX mbps
•   Validate that if the current plan is Out of market, alert is displayed in Current Plan section
1a. Amber warning icon with Out of market text above proposition name 
•   Validate that if the current plan is Out of market, alert is displayed in Cart next to service  as "Out of market " </t>
  </si>
  <si>
    <t>Validate 'Check Delivery estimate'  in modem Section</t>
  </si>
  <si>
    <t>•   Validate that Check delivery estimate is optional. Agent can search suburb or post code to find the matching list of suburbs shown as inline list. Once a suburb is selected, system will show the combination of suburb state and postcode.
•  Validate that  Once a suburb is selected, system should trigger the API: VHAGetEstimatedDates by passing the three/active devices shown in the UI to get the stock status and the estimated delivery date.
•  Validate that coverage check check box should be enabled when coverage check result / address is available in the session,
Agent can select this check box, which will pre-populate the suburb state and postcode in the check delivery estimate field and trigger the API: VHAGetEstimatedDates  by passing the three/active devices shown in the UI to get the stock status and the estimated delivery date
•  Based on the ERP API responses, Instock, Out of Stock, back- Order, low stock lozenge should be displayed</t>
  </si>
  <si>
    <t>Validate Modem Filteration  in modem Section</t>
  </si>
  <si>
    <t>•   Validate that Only the compatible modems respective to the wholesaler technology should be available to search /select
•   Validate that ' Sort by' option is working as per selection</t>
  </si>
  <si>
    <t xml:space="preserve">Validate ' Show current Modem' toggle functionality in Modem Section </t>
  </si>
  <si>
    <t xml:space="preserve">•  yellow wanring message above toggle should be shown as  " Current Modem XXXXXX is incompatible with the selected Plan"
 •  Validate that Toggle is Off by default
•   Validate that below details should be displayed if User manually toggle ON 
1a. Brand name
1b. Device name
1c.  rate/Month
1d. view EEF Button
•   Validate that if the current Modem is not compatible with new technology, alert is displayed in Current Modem Section
1a. Amber warning icon with 'Incompatible with plan'  text above brand name 
•   Validate that EEF calculation should be displayed 
•   Validate that if the current Modem is not compatible with new technology, alert is displayed in Cart next to Service as " Incompatible Modem " </t>
  </si>
  <si>
    <t>Validate 'Check Delivery estimate'  in Accessories Section</t>
  </si>
  <si>
    <t>Validate Accessories Filteration  in Accessories Section</t>
  </si>
  <si>
    <t>•   Validate that Accessories are displayed as per the Vendor /Brand option selected
•   Validate that ' Sort by' option is working as per selection</t>
  </si>
  <si>
    <t>Validate 'Show Current APPs' toggle in Plan section</t>
  </si>
  <si>
    <t>Validate 'Check Delivery estimate'  in 'Other devices' Section</t>
  </si>
  <si>
    <t>Validate 'Other devices' Filteration  in Other devices Section</t>
  </si>
  <si>
    <t>•   Validate that 'Show fixed devices' checkbox is enabled by default to display Arcadyan Mesh secondary devices
•  Validate that unchecking the ' Show fixed devices' checkbox should enable user to select other devices as well other than Mesh
•   Validate that ' Sort by' option is working as per selection</t>
  </si>
  <si>
    <t>•   Validate that 'Show fixed devices' checkbox is enabled by default . But Arcadyan mesh should not be displayed for Vision 
•  Validate that unchecking the ' Show fixed devices' checkbox should enable user to select other devices as well other than Mesh
•   Validate that ' Sort by' option is working as per selection</t>
  </si>
  <si>
    <t>•   Validate that 'Show fixed devices' checkbox is enabled by default . But Arcadyan mesh should not be displayed for FWA 
•  Validate that unchecking the ' Show fixed devices' checkbox should enable user to select other devices as well other than Mesh
•   Validate that ' Sort by' option is working as per selection</t>
  </si>
  <si>
    <t>Validate 'Show Current Devices' toggle in Plan section</t>
  </si>
  <si>
    <t>Validate ' Customer Details' &amp; 'Existing Service'   in Quote Cart section</t>
  </si>
  <si>
    <t>•   Validate that 'Customer details' section is collapsed by default
•   Validate that 'Customer Details' section is prepopulated with below details for Existing Customer
1a. Name: FirstName LastName
1b. Active Services : XX
1c. Approved Services : XXX
1d. Equipment Limit Remaining : $ X,XXX
1e. Credit CHeck Status: Approved (as per status)"
•   Validate that 'Existing Service' section is prepopulated with all plan, device, accessories, wearables, addons, Discounts details for Existing Customer</t>
  </si>
  <si>
    <t>Validate Plan selection and Update cart in Quote Edit PLP page</t>
  </si>
  <si>
    <t xml:space="preserve">•   Validate that 'Existing Services' section is collapsed by default
•   Validate that 'Currently editing' tag is available for the selected service
•   Validate that Agent should be allowed to add only one fixed plan to cart and add to cart by clicking 'Update cart' button
•  Validate that Old plan and Proposition name should be strike out in Cart
 • Validate that  NewPlan name with rate $XX.XX should be displayed along with proposition name under the 'Change of Technology" card
</t>
  </si>
  <si>
    <t xml:space="preserve">•   Validate that 'Existing Services' section is collapsed by default
•   Validate that 'Currently editing' tag is available for the selected service
•   Validate that Agent should be allowed to add only one fixed plan to cart and add to cart by clicking 'Update cart' button
•  Validate that Old plan and Proposition name should be strike out 
 • Validate that  NewPlan name with rate $XX.XX should be displayed along with proposition name under the 'Change of Technology" card
</t>
  </si>
  <si>
    <t>Validate Modem selection and Update cart in Quote Edit PLP page</t>
  </si>
  <si>
    <t>•   Validate that Agent should be allowed to add only one Modem to Cart and add to cart by clicking 'Update cart' button
•   Validate that Agent should be proceed further with quote creation without selecting modem as well which is considered as 'reuse Mo/BYO' as per current modem availaibility in fulfillment for NBN/Vision/opticomm
•   Validate that Agent should not  be proceed further with quote creation without selecting modem for FWA and Warning popup should be thrown as
Heading:   " The plan offer you have selected require a device"  with X button
Message: "You need to select a device with this plan before you can create an order.please add a device that is compatible with the offer to continue."
•  Validate that Old Moden  name should be strike out in Cart
 • Validate that  New Modem name with rate $XX.XX should be displayed under the 'Change of Technology" card next to plan &amp; proposition name</t>
  </si>
  <si>
    <t>Validate option to add NDC charge in Cart in Quote Edit PLP page</t>
  </si>
  <si>
    <t xml:space="preserve">•  Validate that popup should display with new development charges and payment option after click the 'Update  cart' button for order with development charges
Payment option - Add full month to next bill and pay as term radio button and agent should allowed to select any option
terms drop down should be available with 12 ,24 and 36 months. 
•  Validate that 'New Development Charge' should be displayed with charge $XX.XX next to Modem in Cart </t>
  </si>
  <si>
    <t>•  Validate that popup for new development charges should not be displayed for Vision Technology while clicking 'Update cart' button</t>
  </si>
  <si>
    <t>•  Validate that popup for new development charges should not be displayed for FWA Technology while clicking 'Update cart' button</t>
  </si>
  <si>
    <t>Validate Accessories selection and Update cart in Quote Edit PLP page</t>
  </si>
  <si>
    <t>•  Validate that Existing Accessories should be displayed in 'Current APP' section and Cart section under existing service
•  Validate that If Agent retain the previous Accessories and APP as it is , no changes in Cart should be performed, current APP should be displayed as it is.
•  Validate that If Agent Pay Out any of the previous APP , the payout APP should be stroked out in Cart section and unchanged APPs should be displayed as it is.
•  Validate that If Agent add any new accessories with APP , The accessories should be displayed under 'Change of technology ' card in Cart section
•  Validate that Accessory name with rate $XX.XX should be displayed next to Modem under 'Change of technology ' card in Cart section
•  Validate that if multiple accessories are added, all the added items should be listed in order along with rate $XX.XX"</t>
  </si>
  <si>
    <t>Validate Other devices selection and  Update cart in Quote edit PLP page</t>
  </si>
  <si>
    <t>•  Validate that Existing wearables/Mesh should be displayed in 'Current wearables' section and Cart section under existing service
•  Validate that If Agent retain the previous devices and APP as it is , no changes in Cart should be performed, current APP should be displayed as it is.
•  Validate that If Agent Pay Out any of the previous APP , the payout APP should be stroked out in Cart section and unchanged APPs should be displayed as it is.
•  Validate that If Agent Stop device care any of the device ,device care should be stroked out in Cart section and unchanged APPs should be displayed as it is.
•  Validate that If Agent add any new devices with APP/device care , The devices should be displayed under 'Change of technology ' card in Cart section
•  Validate that wearables name with rate $XX.XX should be displayed next to Modem under 'Change of technology ' card in Cart section
•  Validate that if multiple devices are added, all the added items should be listed in order along with rate $XX.XX"</t>
  </si>
  <si>
    <t>Validate button available under each services in Quote Cart section</t>
  </si>
  <si>
    <t>•   Validate that below button should be available in Cart section for new services
1. View EEF 
Validate EEF and MPP Header should be available with below fields and estimated amount.
            a. Plan early exit fee(inc. GST) 
            b. Total GPP device &amp; MPP balance field
            c. Total APP balance 
            d. Contracted additional products &amp; services EEF (inc. GST) 
            e. Remaining months of EEF 
            f. Number of APP's 
            g. Validate Number of GPP device &amp; MPP 
            h. Total trade -in - credit balance 
            i. GPP new development balance 
2. Edit with dropdown option 
2a.Configure service – should allow configuration of the selected service.
2b.Apply promocode – should allow entering and applying a valid promo code. Once promo code is successfully applied, 'Remove Promo code' option should be displayed under' Edit' menu.
2c.Remove service – should remove the selected service from the list.
2d. Manage payment Plan- Should provide option to edit the NDC term</t>
  </si>
  <si>
    <t>Validate Configure Service functionality in Edit drop down in each services available in cart</t>
  </si>
  <si>
    <t>•  Validate that ESLA addition/modifictaion under the E-configurator Page(configure service under edit button) 
            a. Default ESLA should get retrieved with amount as per Business Plan
             b. Respective ESLA Options should get displayed with amount for respective plan selected
             c. ESLA amount get changed if there was any changes with ESLA
            d. Agent/User allowed to add/modify ESLA under e-config and selected ESLA  should be updated in cart and purchase &amp; offers details page.
            e. Agent/User allowed to add discounts/credits under e-config and selected discounts/credits should be updated in cart and purchase &amp; offers details page.</t>
  </si>
  <si>
    <t>•  Validate that ESLA is not applicable for Vision
 •  Validate that Agent/User allowed to add discounts/credits under e-config and selected discounts/credits should be updated in cart and purchase &amp; offers details page.</t>
  </si>
  <si>
    <t>•  Validate that ESLA is not applicable for Opticomm
 •  Validate that Agent/User allowed to add discounts/credits under e-config and selected discounts/credits should be updated in cart and purchase &amp; offers details page.</t>
  </si>
  <si>
    <t>•  Validate that ESLA is not applicable for FWA
 •  Validate that Agent/User allowed to add discounts/credits under e-config and selected discounts/credits should be updated in cart and purchase &amp; offers details page.</t>
  </si>
  <si>
    <t>Validate Due Today and Next Expected monthly bill in Cart Section</t>
  </si>
  <si>
    <t>•  Validate that 'Due today'  and 'Next Expected monthly bill'
	Due today:
		•Section should calculate subtotal, delivery fee, discounts, and total correctly.
	Next Expected monthly bill
		•it should display Discounts per Month and  calculate recurring charges per Month correctly.</t>
  </si>
  <si>
    <t>Validate 'View purchase &amp; offer details' Section in Cart Section</t>
  </si>
  <si>
    <t>•  Validate that 'View purchase &amp; offers details' button -Display the Existing /New service details with offers and discount details.</t>
  </si>
  <si>
    <t>Validate 'Create Quote' button in Cart Section</t>
  </si>
  <si>
    <t>•  Validate that agent should navigate Quote Summary page after click the 'Create quote' button.</t>
  </si>
  <si>
    <t>Validate 'Create Order' button in Cart Section</t>
  </si>
  <si>
    <t>•  Validate that agent should navigate to SFJ 'Coverage check' page for existing customer if all the backend validation are successful.</t>
  </si>
  <si>
    <t xml:space="preserve">SSJ Quote Summary </t>
  </si>
  <si>
    <t xml:space="preserve">Validate 'Quote Summary' Section </t>
  </si>
  <si>
    <t>Same as Mobile Journey</t>
  </si>
  <si>
    <t>SFJ- Customer details</t>
  </si>
  <si>
    <t>Validate 'Customer details' Section in SFJ Journey</t>
  </si>
  <si>
    <t>SFJ- ID details</t>
  </si>
  <si>
    <t>Validate 'ID details' Section in SFJ Journey</t>
  </si>
  <si>
    <t>SFJ- Credit check</t>
  </si>
  <si>
    <t>Validate 'Credit Check ' Section in SFJ Journey</t>
  </si>
  <si>
    <t>SFJ- Billing details</t>
  </si>
  <si>
    <t>Validate 'Billing details' Section in SFJ Journey</t>
  </si>
  <si>
    <t>SFJ- Coverage Checker</t>
  </si>
  <si>
    <t xml:space="preserve">Valdiate 'Service Qualification' section in 'Coverage Checker' page in SFJ </t>
  </si>
  <si>
    <t>•  Validate coverage check -NBN with 'Edit in cart' button section should be displayed with below details												
a. Service address: XX XXXXXX					
b. Service qualification												
	Preferred wholesaler  NBN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</si>
  <si>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-NBN with 'Edit in cart' button section should be displayed with below details												
a. Service address: XX XXXXXX												
b. Service qualification												
	Preferred wholesaler  NBN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</si>
  <si>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-Vision with 'Edit in cart' button section should be displayed with below details												
a. Service address: XX XXXXXX												
b. Service qualification												
	Preferred wholesaler  Vision											
	Max Attainable speed  XXXXX											
	Technology Type       XXXX											
	Technology Description Service class description											
	New Development (True from One SQ, Then display " $300 Development charge for first time connection" , False from oneSQ, then display blank )</t>
  </si>
  <si>
    <t>•  Validate coverage check -Opticomm with 'Edit in cart' button section should be displayed with below details												
a. Service address: XX XXXXXX												
b. Service qualification												
	Preferred wholesaler  Opticomm											
	Max Attainable speed  XXXXX											
	Technology Type       XXXX											
	Technology Description Service class description											
	New Development (True from One SQ, Then display " $300 Development charge for first time connection" , False from oneSQ, then display blank )											
	Input field for Landline number (FNN/ULL)</t>
  </si>
  <si>
    <t>•  Validate coverage check -FWA section should be displayed with below details.
a. Service address: XX XXXXXX	with search address button
b.Fixed wireless availability status.
4G available/Not available
5G NSA -avilable/Not available
c.View coverage map URL button with below notes
"Note :The coverage URL will expire 20 s after being generated.Please generate if required.</t>
  </si>
  <si>
    <t xml:space="preserve">Valdiate 'Fixed Appointment' section in 'Coverage Checker' page in SFJ </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</si>
  <si>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	( As per Overlap Period 	)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</si>
  <si>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'Book a Fixed appointment' button				
•  Validate appointment popup window should be displayed with below details											1a. Fixed Location ID LOCXXXXXXX											
	1b. Demand Type Standard Installation/Non EU Jumper Only(Value should be prepopulated based on the technology type and service class)
	1c. Connection Date DD-MON-YYYY	( As per Overlap Period 	)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</si>
  <si>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  Validate Fixed appointment section should be displayed with  message 'customer will be contacted by the vision team to set up the appointment'</t>
  </si>
  <si>
    <t>•  Validate Fixed appointment section should be displayed with 'Book a Fixed appointment' button				
•  Validate appointment popup window should be displayed with below details											1a. Fixed Location ID OPCXXXXXXX											
	1b. Demand Type- Not applicable for Opticomm
	1c. Connection Date DD-MON-YYYY	(As per Overlap period)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reserved' with green tick icon			
	Time slot: Date &amp; Time 											
	Appointment status: Reserved											
	Fixed Appointment ID: XXXXXXXX											
	Buttons - Modify appointment and Cancel appointment button should be available"</t>
  </si>
  <si>
    <t>Fixed Apoointment button and section should not be visible for FWA</t>
  </si>
  <si>
    <t xml:space="preserve">Validate 'Modify Appointment'  in 'Coverage Checker' page in SFJ </t>
  </si>
  <si>
    <t>•  Validate Modify appointment button should be displayed under 'Fixed Appointment' section		
•  Validate appointment popup window should be displayed with below details											1a. Fixed Location ID LOCXXXXXXX											
	1b. Demand Type Standard Installation/Non EU Jumper Only(Value should be prepopulated based on the technology type and service class)
	1c. Connection Date DD-MON-YYYY	(As per Overlap period)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</si>
  <si>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  Validate Modify appointment button should be displayed under 'Fixed Appointment' section		
•  Validate appointment popup window should be displayed with below details											1a. Fixed Location ID OPCXXXXXXX											
	1b. Demand Type - Not applicable for Opticomm
	1c. Connection Date DD-MON-YYYY (as per Overlap period)										
	1d. Appointment status- New											
	1e. Fixed Appointment ID -											
	1f. Time slot section 											
	Time slot table will be empty in default state until agent clicks “Find available slot”. Once button is clicked the table will be populated and agent can select from list of available slots based on selected preferred date and time. Once button is clicked the table will be populated and agent can select from list of available slots based on selected preferred date and time.			
	1g. Validate that Installation notes text box should be available and agent allowed to enter/type the text without any restriction. Optional one	1h. Appointment primary contact will be pre-populated from Customer Account information and will be editable. “Type” field will be selectable with options for “Primary contact” or “End user”											
	1i. Option to add secondary contact should be available and Agent should be able to update the same
	1j. On clicking 'Reserve' button, agent navigate to Fixed appointment section with below details updated.					
	Appointment reserved success banner as 'Fixed appointment has been updated' with green tick icon			
	Time slot: Date &amp; Time 											
	Appointment status: Reserved											
	Fixed Appointment ID: XXXXXXXX											
	Buttons - Modify appointment and Cancel appointment button should be available"</t>
  </si>
  <si>
    <t>Fixed Appointment button and section should not be visible for FWA</t>
  </si>
  <si>
    <t xml:space="preserve">Validate 'Cancel Appointment'  in 'Coverage Checker' page in SFJ </t>
  </si>
  <si>
    <t>•  Validate Cancel appointment button should be displayed under 'Fixed Appointment' section		
•  On clicking the button, popup with ' Are you sure you want to cancel the appointment? '  with two buttons- No,goback and Yes,cancel displayed
•  On clicking Yes cancel button, banner with ' Fixed appointment has been cancelled' with green tick icon should displayed with ' Book a fixed appointment' button</t>
  </si>
  <si>
    <t>Validate Service List section in 'Coverage Checker' page in SFJ</t>
  </si>
  <si>
    <t xml:space="preserve">•  Validate Service list section as per the oneSQ response												
	1a.Table with below columns should be displayed with details which is available in onesq.							
	NTD ID											
	UNI D/V 											
	Status - Used/Free											
	Order Availability											
	Product ID											
	Service provider											
	Priority											
	NTD Installation											
	PS/Batter											
	Service ID											
	1b.After enhanced NBN check is performed, results for the service will be returned in table""							
	Product instance(PRIXXXX)											
	Service provider(Telstra/TPG Telecom)											
	Service ID match(Yes/No)											
	1c. For Internal Loss -If the brand is within TPG Telecom group i.e. Vodafone/TPG/iiNet, the return display for Service Provider column will be “TPG Telecom”. This is due to Siebel unable identify which brand/Losing Service Provider (LSP) within TPG Telecom.
</t>
  </si>
  <si>
    <t>Service List section should not be visible for FWA</t>
  </si>
  <si>
    <t>Validate Enhanced Fixed Check section in Coverage Checker page in SFJ</t>
  </si>
  <si>
    <t>•  Validate Enhanced Fixed Check section as per the port selection
•  For service transfer , Outstanding,  Internal loss order types for Fibre and HFC- AVC ID should be mandatory to proceed further.			
	1a. Agent should select the radio button ""YES"" for 'Does Customer have Access Service ID(AVC ID)?' If AVC ID is known, Else select ' UnKnown AVC ID' button	
	1b. New input field to enter AVC ID should be displayed if Agent clicks ' yes'
	1c.Agent should enable the check box ('Customer has agreed to enhanced check') to enable the enhanced check button
•  If Agent select the port for copper, FNN/ULL is mandatory to perform Enhanced Check button 
•  On clicking Enhanced  Check button , one More OneSQ request should be triggered in the backend, and additional values (Product Instance, Service Provider, Service ID Match) should be updated in Service List table"</t>
  </si>
  <si>
    <t>•  Validate Enhanced Fixed Check section should be hide for vision</t>
  </si>
  <si>
    <t>Enhanced Check section should not be visible for FWA</t>
  </si>
  <si>
    <t>Validate Order Information section in Coverage Checker page in SFJ</t>
  </si>
  <si>
    <t>Order Information Section should not be visible for FWA</t>
  </si>
  <si>
    <t>Validate Transfer Details section in Coverage Checker page in SFJ</t>
  </si>
  <si>
    <t>•  Validate Transfer details section as below												
•  Transfer Type dropdown - New, Belongs to other, Belongs to customer 											If  	1a. Agent selects Free line, Transfer type should be New;										
	1b. If agent selects Used lines, Transfer Type should be dropdown values as Belongs to Customer, Belongs to other		
	1c. If Agents Selects Belongs to Other option , Alert message should display  regarding pending process as below
		"Connect outstanding: This may require further action before the order can be completed. Order status will be set to pending until resolved."
•  CVC# should be displayed by default . If multiple CVC is avilable? 
•  Installation Option - Its mandatory depending on Technology. The value should be 'Standard install' for Technology 'HFC' with service class SC24 and for others the value should be "NBN Install"											
•  Connection Date field should be displayed only If agent selects Belongs to Other, Defaulted to Todays date. Agent can modify to future date as well
•  Additional/chargeable copper pair waive reason											
	High Speed - Eligible/Not Eligible											
	Fibre Connect - Serviceable/Not serviceable											
	Fibre Upgrade High Speed - Not eligible/Eligible"</t>
  </si>
  <si>
    <t>•  Validate Transfer details section should be hide for vision</t>
  </si>
  <si>
    <t xml:space="preserve">•  Validate Transfer details section as below												
•  Transfer Type dropdown - New, Belongs to customer 											
	1a. If Agent selects Free line, Transfer type should be New;										
	1b. If agent selects Used lines, Transfer Type should be dropdown values as Belongs to Customer		
•  CVC# should be displayed by default . If multiple CVC is avilable? 
•  Installation Option - Its mandatory depending on Technology. The value should be 'Standard install' for Technology 'HFC' with service class SC24 and for others the value should be "NBN Install"											
</t>
  </si>
  <si>
    <t>Transfer Detaisl section should not be visible for FWA</t>
  </si>
  <si>
    <t>SFJ PLP - Proposition Page</t>
  </si>
  <si>
    <t>Validate Order Information in Proposition page</t>
  </si>
  <si>
    <t xml:space="preserve">1. Table with list of services added to purchse with below column
a. MSISDN/new service
b. Order Type- Change of Technology
c. Product: Proposiiton Name
d. Device: Yes/No
e. APP: Yes/No
Status: Ready/Non ready
2. Validate Header should be displayed as 'Change of Technology' with Edit in cart button and Mark as Ready check box		
a. Line Item - Total No. of services added will be mentioned in numeric value												
b. Order Number - Order ID should get created with unique identifier for the user to track the order details.												
c. Order Type - Change of Technology										
d. Proposition - selected Proposition name. 												
e. Service - selected plan name.												
f. Promo Code - Provided Promo code value during quote creat otherwise blank.												
g. Add Ons - If user purchased any addons then the status will get displayed as "yes", otherwise "No".												
h. table with below columns												
    Connection type - if user purchased the plan and device proposition details then ' Plan and device' will get displayed under connection type field.												
    Stock Indicator - ' In stock' or 'Out of stock' will be displayed based on the Device status purchased .												
    Product type -												
    Installed asset PIN- 												
    Notification MSISDN - Checkbox  ith tick mark should be updated if the user provided the Notification MSISDN in the previous account creation page.										</t>
  </si>
  <si>
    <t>Validate 'Device &amp; SIM' section  in Proposition page</t>
  </si>
  <si>
    <t>Validate 'Accessories/Wearables' section  in Proposition page</t>
  </si>
  <si>
    <t>•  Validate Product Details table with below columns
1a. Type - Accessories/Wearables
1b. Device 
1c. Stock Indicator- In Stock/out of Stock
1d. IMSI/Serial #- IMEI for FWA; NA for Fixed
1e. EID - NA/EID #
1f. Monthly device care - Added/NA
1g. Payment Term- 12/24/36 months
1h. RRP- $XXXX
1i. Contract Amount - $XXXX
•  IMEI and EID should be able to enter by User here . If not, error should be thrown</t>
  </si>
  <si>
    <t>SFJ- Prepayment Page</t>
  </si>
  <si>
    <t>Validate Prepayment config page in SFJ</t>
  </si>
  <si>
    <t>Validate that Prepayment and sharing page should be displayed with below details if no prepayment applicable.
1.Prepayments section with message 'No Prepayment available'
2.Data sharing section with message 'No data sharing to be configured on this order'
Prepayment Required: 
1. Validating Prepayments section under Configure prepayments and sharing setup
a.Validate Prepayments section under Configure prepayments and sharing setup
b.Validate the below details under Prepayments:
--Total device cost
--Total APP Cost
--Devices and accessories amount in the order
--Prepayment Option
--Remaining equipment  limit
--Requried minimum prepayment amount
c.Validate user should able to see the Prepayment amount ready to pay upfront - text box should be available
2. Validating Payment plan section
a.Validate Prepayment plan section under Configure prepayments and sharing setup
b.Validate the below details under Prepayment plan:
--Service order ID
--MSISDN
--Contract amount
--Device/Accessory name
--Original monthly amount
--New monthly amount
--Prepayment
3. Validating that Data Sharing section should be available only when the Existing service will have the multiple mobile services .</t>
  </si>
  <si>
    <t>SFJ-Order review Page</t>
  </si>
  <si>
    <t>Validate 'Purchase &amp; Offer Details' in Order Review page</t>
  </si>
  <si>
    <t>1. Validate Purchase &amp; Offer Details  available in order reviw page											
		a.Purchase &amp; Offer Details Button										
			Button is visible.									
			Selected state is highlighted correctly.									
			User can return to Purchase and Offer details page without losing data.</t>
  </si>
  <si>
    <t>Validate Billing Summary Information in Order Review Page</t>
  </si>
  <si>
    <t>2.Validate below Billing summary informations are getting displayed in order review page											
		a.Billing Account										
			Example: 943897578									
				Billing account displayed correctly.								
				Billing account should be active.								
		b.Account Status										
			Example: Active with green tick icon									
		c.Next Monthly Bill										
			Example: $332.18									
				Currency format displayed correctly.								
				Amount fetched from billing system.								
				Decimal precision is correct.								
		d.Due Today										
			Example: $870.80									
				Value correctly calculated.								
				One-time charges included.								
				Device repayments included if applicable.								
		On Clicking Tooltip , Prepayment Amount should be displayed										
			Example: $870.80</t>
  </si>
  <si>
    <t>Validate Order related information in Order review page</t>
  </si>
  <si>
    <t>4.Validate the Order Type section is displayed with below details											
		a.Order Type										
			Example: Change of Technology								
		b.Service Number / Reference Number										
			Example: 61400000001
Validate the below connect outstanding banner when its applicable to display 											
		Message:"Connect outstanding:This may require further action before the order can be completed. Order status will ne set to pending until it resolved.</t>
  </si>
  <si>
    <t>validate Fixed Contacts, Orders, Appointment details in Order Review Page</t>
  </si>
  <si>
    <t>"6.Validate that below buttons are getting displayed in order review page if applicable											
		a.Fixed Contact Details										
			Validate below details after clicking on Fixed contact details button								
				Contact name								
				Contact number (61 format)								
				Noification method								
				Notification email								
			Validate the Close button and ""X"" is available.									
		b.Fixed Order Details										
			Validate below details after clicking on Fixed order details button								
				Address								
				Location ID								
				Order type								
				Transfer type								
				Landline number(FN/ULL)								
				Technology type								
				Estimated activation date								
				CVC ID								
			Validate the Close button and ""X"" is available.									
		c.Fixed Appointment Details - should display  only for appointment-based services.										
			Validate below details after clicking on Fixed appointment details button							
				Appointment date								
				Time slot								
				Demand type								
				Appointment Status								
				Fixed Location ID								
				Fixed appointment ID								
				Installation notes								
				--Special Condition								
			3.Validate the Close button and ""X"" is available.									
		d.Service Address Details										
			Validate below details after clicking on Service address details button								
				Service address								
				Street type								
				State								
				Country								
				City								
				Postal Code								
			Validate the Close button and ""X"" is available."</t>
  </si>
  <si>
    <t>Validate Order details in Order Review Page</t>
  </si>
  <si>
    <t>7.Validate the below fields are getting displayed if applicable to the Order type											
		a.Order Details										
			Line Item									
			Order Number									
			Fulfilment Order Number									
			Order Type	
                                                                          Order Sub Function:								
			Order Status									
			Connection Date - (As per Overlap period)									
			Notification MSISDN									
			"eSIM Confirmation Code 
"									
			Promo Code									
		b.Service Details										
			Connection Type									
			Proposition									
			Plan									
			Payment Term	
                                                                       Total minimum cost								
		C.Order Management										
			QR Code Message - should display only when QR code generation is applicable.									
			Port In -  Should be blank for fixed									
			SIM</t>
  </si>
  <si>
    <t>Validate Product details in Order review page</t>
  </si>
  <si>
    <t>8.Validate below tables are displayed when Applicable Based on What's in the Order											
		a.Product Details										
			It should display If there are physical product is available in order									
			validate the below fields in product details table									
				Type								
				Product								
				Monthly device care								
				Payment term								
				Contract amount								
		b.Add on Selected 										
			It should display If there are add-ons  available in order									
			validate the below fields in Add ons Selected table									
				Name								
				Type								
				Expiry								
		c.Offers Selected										
			It should display If there are offers available in order and Table hidden if no offers exist.									
			validate the below fields in Offers Selected table									
				Offer code 								
				Offer name 								
				Add Offer flag 								
				Co-exist indicator 								
				Offer description 								
				Number of services 								
				Mandatory indicator								
		d.Charges										
			It should display If there are one time charges available in order and Table hidden if no charges exist.									
			validate the below fields in Charges table									
				Charge type 								
				Description 								
				Charge amount 								
				Discount calculation 								
				Net Amount								
				Related ID 								
				EEF/EUF rollover								
		e.Prepayments										
			It should display If there is prepayments available in order and Table hidden if no prepayment is required.									
			validate the below fields in Prepayments table									
				Total Prepayment 								
				Total MPP Prepayment 								
				Total APP Prepayment 								
		f.Shipping details										
			It should display only when shippable items exist in order and Table hidden if  when no shipment is required.									
			If we have unknown shipping date then it should isplay the below banner mesage									
				message-"There are items in this order with an unkown shipping date.Customer will receive an SMS notification with the estimated shipping details once the fulfilment order has been submitted.								
			validate the below fields in Shipping details table									
				Product								
				Type								
				Date								
				Stock availability								
			validate after updated shipping details table user can check the stock availability by clicking on Perform stock check button.</t>
  </si>
  <si>
    <t>Validate Shipping details in Order review page</t>
  </si>
  <si>
    <t>10.Validate below shipping address details should get updated with the below field values populated.
 "											
		"a. Customer details 
     "										
			Title - Drop down should get updated .									
			Attention to - Customer name should get updated									
		b.Shipping details 										
			Business name 									
			Address Type									
			 Address - Customer Address should get updated with two other check boxes below 									
				Manual Address - To Update the address manually								
				Same as Primary address - To update the same primary address								
			Shipment Preference - Shipment preference should get updated based on the drop down option									
		c.Shipment Notification										
			Validate Notification Method, Notification MSISDN and Notification email fields should get populated based on delivery notifications									
			 	Notification Method - Notification Method should be updated as Txt or Email .								
				Notification MSISDN - Notification MSISDN details should be updated .								
				Notification email - Customer's email address should get updated and validate CTA button should be enabled to verify the email address.</t>
  </si>
  <si>
    <t>Validate Validation messages in Order review page</t>
  </si>
  <si>
    <t>Validate Terms and Condition section in Order review page</t>
  </si>
  <si>
    <t>11.Validate that 'Terms &amp; condition' section should be displayed in Order Review page with below details for the user with responsibility 'Type  : VHA_FUNCTION_ACCESS_RESP Value : Sales Manual SMS Rationalization'											
		a. Banner with  message 'Reminder to review terms &amp;conditions with customer'										
		b. Message ' &lt;Decision Maker Name&gt; will receive the following Terms &amp; Condition SMS '										
		c. Existing Contacts drop down button with below user contact numbers and 'Send mandatory SMS now' button with enabled status.										
			&lt;Contact Number&gt;(Account Holder)									
			&lt;Contact Number&gt;(Authorised) -display only for Existing customer									
		d. SMS Customer Order Table with column 'Order type ,MSISDN ,Item in cart ,Included mandatory SMS'										
			Order type-&gt;New connect									
			MSISDN-&gt; Service MSISDN(614XXXXX) 									
			Item in cart-&gt;(selected Plan)									
			Included mandatory SMS -&gt;List of SMS send to customer									
		•  Validate that agent/user allowed to select Account Holder/Authorised contact number from existing contacts drop down and click the 'Send mandatory SMS now button.										
		•  Validate that 'Send mandatory SMS now' button changed into 'Mandatory SMS sent'  with tick mark and it should be disabled 										
		•  Validate  'Mandatory SMS sent' inline message with green round tick mark symbol should  display under Existing contact drop down										
		•  Validate that SMS should be triggered and sent to customer successfully										
		•  Validate that  Automatic mandatory SMS should not  be triggered and sent to customer after complete the order.</t>
  </si>
  <si>
    <t>Validate Contract Generation in Order review page</t>
  </si>
  <si>
    <t>12.Validate the generate contract section with below fields
		Order file name should get updated if any contract has been generated already.										
		Validate Sales person , External reference ID, Approval ID text boxes should be available .										
		Generate Contract CTA button should be enabled to generate the contract details for purchased items.										
		Send Email CTA button should be in disabled Status.	
		Validate the NSA document should be generated with selected plan, device and eSLA details.</t>
  </si>
  <si>
    <t>SFJ-Make a payment</t>
  </si>
  <si>
    <t>Validate Payment in SFJ Journey</t>
  </si>
  <si>
    <t>Post Order Validation - Siebel</t>
  </si>
  <si>
    <t>Validate Fixed related validation once order is submitted in Siebel</t>
  </si>
  <si>
    <t>•  Validate that the user able to submit the order successfully.											
•  Validate the Order Line Items for the performed transaction											
•  Validate Fulfillment order is triggered if Modem/Modem&amp; Accessory are Out of stock									
•  Validate that the SQ is retriggered if the connect order is getting submitted post 4 hrs of delay.							
•  Validate that Connect got cancelled if the port is used during oneSQ	
•  Validate that Order is triggered in below sequence
	1. Change of Technology - Connect should be triggered first
	2. Change of Technology - Disconnect should be triggered once connect is completed	
•  Validate the Fixed Order type, Transfer Type and Order sub Function as per scenario for Connect Order
	Fixed Order Type- Connect
	Transfer Type- New, Service Transfer, Connect Outstanding, Service Transition, Connect outstanding Transition, internal loss, Service reversal (As per scenario)
	Order Subfunction - Change Technology Across NW for  (FBB/FWA to FBB/FWA) ; Change Technology within NW (FWA 4G/5G to FWA5G/4G)
•  Validate the Fixed Order type, Transfer Type and Order sub Function as per scenario for Connect Order
	Fixed Order Type- Disconnect
	Transfer Type- 
	Order Subfunction - Change Technology Across NW for  (FBB/FWA to FBB/FWA) ; Change Technology within NW (FWA 4G/5G to FWA5G/4G)
•  Validate the Submit order XML for below tags, Compare XMLs with BAU TBUI Order for each one order type						
	Service Class											
	Technology											
	Service provider											
	Transfer type											
	Order type											
	Plan											
	Modem											
	Speed	
	ESLA	
	Demand type
	Installation Option									
	ACS Modem Provisioning											
	NBN Provisioning	]
•  Validate that Fixed order details under Line items should be available with below details:
  	Fixed Technology
  	Fixed Loc ID
  	Fixed Address
  	Transfer Type
  	Landline(FNN/ULL)
  	Fixed Order Type
  	Order Sub function
  	Fixed Appointment ID
  	Install option
 	Fixed order number
 	Fixed order notification
  	Order contact details
  	Status
 	Sub status
	Planned completion date
•  Validate the below details in Siebel after order completion.
a. Validate the below details in Fixed Service Address Details tab
	Fixed Address-Coverage check address
	Fixed Location Id-Coverage check address
	Fixed Technology-Selected Technology	
b. Assets page should be displayed with below details.
	Selected proposition and plan should be available and service provide should be 'TPG'
	Fixed Product Instance Id-PRI value Assigned by NBN(should match with fusion/NSG logs)
	Static IP for business customer								
c. Components tab should displayed with below line items with attributes and details should be match with NSG /fusion response logs.
	Proposition and Plan with speed
	Fiber product specification
	Fiber NTD resource specification
	Fiber UNID resource specification
	Fiber AVC resource specification
d. Below details should be available after Retrieve Network settings
	Plan name
	AVC ID
	User Name
	Service framed IPv4 address with static IP for business customer
 	Modem MAC Address-Display only when modem connected
e. Validate that fixed address should be set as customer Service address with premise flag checkbox enabled under customer address tab."""
f. Validate that Fixed order notification under asset tab should be validated with notification type, status, order type, date."</t>
  </si>
  <si>
    <t>Post Order Validation-Other systems</t>
  </si>
  <si>
    <t>Validate Fixed requests in Others Systems</t>
  </si>
  <si>
    <t xml:space="preserve">•  Validate that SMS &amp; Email should triggered as the template with/without appointment details after order completion.
•  Validate that proof of purchase Email should be triggered when device purchased.
•  Validate that all the events like NSG, GRAD, GRAP, ACS events are triggered and got completed successfully.						
•  Validate the Invoice with AVC ID , ESLA and discounts/credits details retrieved for the performed transaction	
</t>
  </si>
  <si>
    <t>Raised it in Tech feasibility
Tech feasibility: ESIM option shouldn't be available. Figma will be updated</t>
  </si>
  <si>
    <t>Raised it in Tech feasibility
Tech feasibility:  option to edit SIM shouldn't be available. Figma will be updated</t>
  </si>
  <si>
    <t xml:space="preserve">Prepared this table and raised in Tech feasibility, Sarah confirmed in Tech feasibility that these are expected </t>
  </si>
  <si>
    <t>Existing Consumer Cx with previous Modem  perform  COT</t>
  </si>
  <si>
    <t>Miscellaneous TOM</t>
  </si>
  <si>
    <t>Raised it in Tech feasibility : Figma to be udpated with warning/pop up message . To be included in Miscellaneous TOM</t>
  </si>
  <si>
    <t>Wifi Hub 3 with 4G Backup**</t>
  </si>
  <si>
    <t>Tplink with 4G Backup SIM**</t>
  </si>
  <si>
    <t>Updated TOM 16 and 23 for Old Modems</t>
  </si>
  <si>
    <t>•  Validate that Toggle is Off by default
•   Validate that below details should be displayed if User manually toggle ON 
1a. APP ID - heading
1b. Rate $XX.XX/mo
1c. Accessory name
1d. Pay out APP Checkbox
•   Validate that if Multiple accessories are available, It should be grouped and listed them as per APP ID
Eg: 
APP ID 1
Rate $XX.XX/mo
Accessory name 1
Accessory name 2
Pay Out APP checkbox
APP ID 2
Rate $XX.XX/mo
Accessory name 1
Accessory name 2
Pay Out APP checkbox
•   Validate that EEF calculation should be displayed 
•   Validate that as part of COT  (except reuse modem) , all the APPS should be paid out by default. user shouldn't have any other option.</t>
  </si>
  <si>
    <t>•  Validate that Toggle is Off by default
•   Validate that below details should be displayed if User manually toggle ON 
1a. Device name heading
1b. Rate $XX.XX/mo
1c. Pay Out Checkbox
1d. Stop Device Care Checkbox
•   Validate that if Multiple accessories are available, It should be  listed them as below
Eg: 
Device 1 Name 
Rate $XX.XX/mo
Pay Out APP checkbox
Stop Device care checkbox
Device 2 Name 
Rate $XX.XX/mo
Pay Out APP checkbox
Stop Device care checkbox
•   Validate that EEF calculation should be displayed 
•   Validate that as part of COT  (except reuse modem) , all the APPS should be paid out by default. user shouldn't have any other option.</t>
  </si>
  <si>
    <t xml:space="preserve">•   Validate that Agent should be allowed to add only one Modem to Cart and add to cart by clicking 'Update cart' button
•   Validate that Agent should be proceed further with quote creation without selecting modem as well which is considered as 'reuse Mo/BYO' as per current modem availaibility in fulfillment for NBN/Vision/opticomm
•   Validate that Agent should not  be proceed further with quote creation without selecting modem for FWA and Warning popup should be thrown as
Heading:   " The plan offer you have selected require a device"  with X button
Message: "You need to select a device with this plan before you can create an order.please add a device that is compatible with the offer to continue."
•  Validate that Old Moden  name should be strike out in Cart
 • Validate that  New Modem name with rate $XX.XX should be displayed under the 'Change of Technology" card next to plan &amp; proposition name
</t>
  </si>
  <si>
    <t>•  Validate that Service list table should be displayed without any details.</t>
  </si>
  <si>
    <t>Validate that Service list table with below columns should be displayed with details which is available in onesq
NTD Id
UNI-D/V
Status
Order Availability
NTD install date
Product Instance Id
Service Provider
Priority Assist
PS/Battery Backup Install Date</t>
  </si>
  <si>
    <t xml:space="preserve">•  Validate Service list section as per the oneSQ response												
	1a.Table with below columns should be displayed with details which is available in onesq.							
	NTD ID											
	UNI D/V 											
	Status - Used/Free											
	Order Availability											
	Product ID											
	Service provider											
	Priority											
	NTD Installation											
	PS/Batter											
	Service ID	</t>
  </si>
  <si>
    <t>•  Validate Enhanced Fixed Check section with below details																						
	Agent should enable the check box  with message 'Customer has agreed to enhanced check'  to enable the  'Enhanced Fixed check'  button											
	On clicking Enhanced  fixed check button , one More OneSQ request should be triggered in the backend, and additional values (Product Instance, Service Provider, Service ID Match) should be updated in Service List table</t>
  </si>
  <si>
    <t>•  Validate Order Information section												
	Existing Service											
		Check Box - Customer wants to keep existing fixed service active- Agent/User should enable the check box when a free port is selected along with the existing used port to avoid any interruption to the  existing port/service.
		Check Box- Customer wants an additional NBN connection box(NTD/Copper Pair) -Warning/Error message should be displayed on clicking this check box.</t>
  </si>
  <si>
    <t>•  Validate Order Information section												
	Existing Service											
		Check Box - Customer wants to keep exisiting fixed service active- Agent/User should enable the check box when a free port is selected along with the existing used port to avoid any interruption to the  existing port/service.</t>
  </si>
  <si>
    <t>a. MSISDN search box with Allocation button ,Once allocated name should be changed into deallocate under Number assignment												
b. If Modem is BYO, Product details should not be displayed
b. If Modem is available, Selected Device name should be populated under product details												
         1. Fixed NBN -Modem - Arcadyan												
         2. Opticom -Modem - Arcadyan												
         3. Vison -Modem - TPLink with 4G backup SIM											
         4. FWA 4G -Modem - TPLink Modem - Refurb												
         5. FWA 5G -Modem - Arcadyan Modem - Refurb												
c. IMEI/serial# text box with validate button should be displayed  for Instock Modem, Should not be displayed for Out of Stock modem			
d. Reuse Modem should be displayed as Yes/No depending on scenario				
e. SIM details should not be displayed if Modem doesn't have backup SIM. Physical SIM input field should be available for Instock Modem with 4G backup. ESIm option should not be displayed for any modem category
f.  payment RRP $x.xxxx of Modem												
3.Validate Ring and collect details should not  be displayed with Reserve store stock button for Fixed, service, It should be available for FWA services</t>
  </si>
  <si>
    <t>Validate below fields should be available under validation messages to verify the messages											
	 	a. Override SMS - Checkbox should be available										
		b. 2 way SMS MSISDN -Text box and 'PICK MSISDN' button should be disabled.												   
                c. Refresh CTA button should be available to refresh the validation message section.									
		d. Paperless Bypass Reason - Drop down should be available to choose the reason and text message "The Customer will be sent an SMS on completion of this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</si>
</sst>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0"/>
      <color theme="1"/>
      <name val="Aptos Narrow"/>
      <family val="2"/>
      <scheme val="minor"/>
    </font>
    <font>
      <sz val="10"/>
      <color theme="1"/>
      <name val="Calibri"/>
      <family val="2"/>
    </font>
    <font>
      <sz val="8"/>
      <name val="Aptos Narrow"/>
      <family val="2"/>
      <scheme val="minor"/>
    </font>
    <font>
      <b/>
      <sz val="10"/>
      <color theme="0"/>
      <name val="Calibri"/>
      <family val="2"/>
    </font>
    <font>
      <sz val="10"/>
      <color theme="0"/>
      <name val="Calibri"/>
      <family val="2"/>
    </font>
    <font>
      <sz val="10"/>
      <color theme="1"/>
      <name val="Calibri"/>
      <family val="2"/>
    </font>
    <font>
      <sz val="10"/>
      <name val="Calibri"/>
      <family val="2"/>
    </font>
    <font>
      <sz val="11"/>
      <color theme="1"/>
      <name val="Calibri"/>
      <family val="2"/>
    </font>
    <font>
      <sz val="11"/>
      <color theme="1"/>
      <name val="Calibri"/>
      <family val="2"/>
    </font>
    <font>
      <b/>
      <sz val="9"/>
      <color theme="0"/>
      <name val="Calibri"/>
      <family val="2"/>
    </font>
    <font>
      <b/>
      <sz val="10"/>
      <color theme="0"/>
      <name val="Aptos Narrow"/>
      <family val="2"/>
      <scheme val="minor"/>
    </font>
    <font>
      <b/>
      <sz val="11"/>
      <color theme="0"/>
      <name val="Aptos Narrow"/>
      <family val="2"/>
      <scheme val="minor"/>
    </font>
  </fonts>
  <fills count="11">
    <fill>
      <patternFill patternType="none"/>
    </fill>
    <fill>
      <patternFill patternType="gray125"/>
    </fill>
    <fill>
      <patternFill patternType="solid">
        <fgColor rgb="FF002060"/>
        <bgColor rgb="FF000000"/>
      </patternFill>
    </fill>
    <fill>
      <patternFill patternType="solid">
        <fgColor rgb="FFFFC000"/>
        <bgColor rgb="FF000000"/>
      </patternFill>
    </fill>
    <fill>
      <patternFill patternType="solid">
        <fgColor rgb="FF002060"/>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3" tint="0.89999084444715716"/>
        <bgColor indexed="64"/>
      </patternFill>
    </fill>
    <fill>
      <patternFill patternType="solid">
        <fgColor rgb="FFFF0000"/>
        <bgColor indexed="64"/>
      </patternFill>
    </fill>
  </fills>
  <borders count="2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style="thin">
        <color indexed="64"/>
      </bottom>
      <diagonal/>
    </border>
    <border>
      <left/>
      <right/>
      <top/>
      <bottom style="thin">
        <color rgb="FF000000"/>
      </bottom>
      <diagonal/>
    </border>
  </borders>
  <cellStyleXfs count="1">
    <xf numFmtId="0" fontId="0" fillId="0" borderId="0"/>
  </cellStyleXfs>
  <cellXfs count="112">
    <xf numFmtId="0" fontId="0" fillId="0" borderId="0" xfId="0"/>
    <xf numFmtId="0" fontId="6" fillId="5" borderId="7" xfId="0" applyFont="1" applyFill="1" applyBorder="1" applyAlignment="1">
      <alignment horizontal="left"/>
    </xf>
    <xf numFmtId="0" fontId="6" fillId="5" borderId="5" xfId="0" applyFont="1" applyFill="1" applyBorder="1" applyAlignment="1">
      <alignment horizontal="left"/>
    </xf>
    <xf numFmtId="0" fontId="8" fillId="0" borderId="0" xfId="0" applyFont="1" applyAlignment="1">
      <alignment horizontal="left"/>
    </xf>
    <xf numFmtId="0" fontId="6" fillId="5" borderId="5" xfId="0" applyFont="1" applyFill="1" applyBorder="1" applyAlignment="1">
      <alignment horizontal="left" wrapText="1"/>
    </xf>
    <xf numFmtId="0" fontId="6" fillId="5" borderId="2" xfId="0" applyFont="1" applyFill="1" applyBorder="1" applyAlignment="1">
      <alignment horizontal="left"/>
    </xf>
    <xf numFmtId="0" fontId="8" fillId="0" borderId="0" xfId="0" applyFont="1" applyAlignment="1">
      <alignment horizontal="left" wrapText="1"/>
    </xf>
    <xf numFmtId="0" fontId="5" fillId="4" borderId="0" xfId="0" applyFont="1" applyFill="1" applyAlignment="1">
      <alignment horizontal="left" vertical="center"/>
    </xf>
    <xf numFmtId="0" fontId="6" fillId="5" borderId="9" xfId="0" applyFont="1" applyFill="1" applyBorder="1" applyAlignment="1">
      <alignment horizontal="left"/>
    </xf>
    <xf numFmtId="0" fontId="7" fillId="5" borderId="7" xfId="0" applyFont="1" applyFill="1" applyBorder="1" applyAlignment="1">
      <alignment horizontal="left"/>
    </xf>
    <xf numFmtId="0" fontId="9" fillId="5" borderId="7" xfId="0" applyFont="1" applyFill="1" applyBorder="1" applyAlignment="1">
      <alignment horizontal="left"/>
    </xf>
    <xf numFmtId="0" fontId="6" fillId="5" borderId="8" xfId="0" applyFont="1" applyFill="1" applyBorder="1" applyAlignment="1">
      <alignment horizontal="left"/>
    </xf>
    <xf numFmtId="0" fontId="8" fillId="5" borderId="7" xfId="0" applyFont="1" applyFill="1" applyBorder="1" applyAlignment="1">
      <alignment horizontal="left"/>
    </xf>
    <xf numFmtId="0" fontId="8" fillId="5" borderId="7" xfId="0" applyFont="1" applyFill="1" applyBorder="1" applyAlignment="1">
      <alignment horizontal="left" wrapText="1"/>
    </xf>
    <xf numFmtId="0" fontId="6" fillId="5" borderId="7" xfId="0" applyFont="1" applyFill="1" applyBorder="1" applyAlignment="1">
      <alignment horizontal="left" wrapText="1"/>
    </xf>
    <xf numFmtId="0" fontId="6" fillId="5" borderId="3" xfId="0" applyFont="1" applyFill="1" applyBorder="1" applyAlignment="1">
      <alignment horizontal="left"/>
    </xf>
    <xf numFmtId="0" fontId="7" fillId="5" borderId="5" xfId="0" applyFont="1" applyFill="1" applyBorder="1" applyAlignment="1">
      <alignment horizontal="left"/>
    </xf>
    <xf numFmtId="0" fontId="8" fillId="5" borderId="0" xfId="0" applyFont="1" applyFill="1" applyAlignment="1">
      <alignment horizontal="left"/>
    </xf>
    <xf numFmtId="0" fontId="7" fillId="5" borderId="9" xfId="0" applyFont="1" applyFill="1" applyBorder="1" applyAlignment="1">
      <alignment horizontal="left"/>
    </xf>
    <xf numFmtId="0" fontId="6" fillId="5" borderId="5" xfId="0" quotePrefix="1" applyFont="1" applyFill="1" applyBorder="1" applyAlignment="1">
      <alignment horizontal="left"/>
    </xf>
    <xf numFmtId="0" fontId="2" fillId="7" borderId="7" xfId="0" applyFont="1" applyFill="1" applyBorder="1" applyAlignment="1">
      <alignment wrapText="1"/>
    </xf>
    <xf numFmtId="0" fontId="9" fillId="7" borderId="7" xfId="0" applyFont="1" applyFill="1" applyBorder="1" applyAlignment="1">
      <alignment horizontal="left"/>
    </xf>
    <xf numFmtId="0" fontId="2" fillId="0" borderId="7" xfId="0" applyFont="1" applyBorder="1" applyAlignment="1">
      <alignment wrapText="1"/>
    </xf>
    <xf numFmtId="0" fontId="2" fillId="5" borderId="7" xfId="0" applyFont="1" applyFill="1" applyBorder="1" applyAlignment="1">
      <alignment wrapText="1"/>
    </xf>
    <xf numFmtId="0" fontId="1" fillId="5" borderId="7" xfId="0" applyFont="1" applyFill="1" applyBorder="1" applyAlignment="1">
      <alignment horizontal="left"/>
    </xf>
    <xf numFmtId="0" fontId="2" fillId="5" borderId="7" xfId="0" applyFont="1" applyFill="1" applyBorder="1"/>
    <xf numFmtId="0" fontId="8" fillId="5" borderId="9" xfId="0" applyFont="1" applyFill="1" applyBorder="1" applyAlignment="1">
      <alignment horizontal="left"/>
    </xf>
    <xf numFmtId="0" fontId="8" fillId="5" borderId="12" xfId="0" applyFont="1" applyFill="1" applyBorder="1" applyAlignment="1">
      <alignment horizontal="left"/>
    </xf>
    <xf numFmtId="0" fontId="8" fillId="5" borderId="11" xfId="0" applyFont="1" applyFill="1" applyBorder="1" applyAlignment="1">
      <alignment horizontal="left"/>
    </xf>
    <xf numFmtId="0" fontId="8" fillId="5" borderId="8" xfId="0" applyFont="1" applyFill="1" applyBorder="1" applyAlignment="1">
      <alignment horizontal="left"/>
    </xf>
    <xf numFmtId="0" fontId="8" fillId="5" borderId="5" xfId="0" applyFont="1" applyFill="1" applyBorder="1" applyAlignment="1">
      <alignment horizontal="left"/>
    </xf>
    <xf numFmtId="0" fontId="8" fillId="5" borderId="10" xfId="0" applyFont="1" applyFill="1" applyBorder="1" applyAlignment="1">
      <alignment horizontal="left"/>
    </xf>
    <xf numFmtId="0" fontId="8" fillId="5" borderId="0" xfId="0" applyFont="1" applyFill="1" applyAlignment="1">
      <alignment horizontal="left" wrapText="1"/>
    </xf>
    <xf numFmtId="0" fontId="6" fillId="5" borderId="0" xfId="0" applyFont="1" applyFill="1" applyAlignment="1">
      <alignment horizontal="left" wrapText="1"/>
    </xf>
    <xf numFmtId="0" fontId="1" fillId="0" borderId="0" xfId="0" applyFont="1"/>
    <xf numFmtId="0" fontId="1" fillId="6" borderId="5" xfId="0" applyFont="1" applyFill="1" applyBorder="1" applyAlignment="1">
      <alignment horizontal="left"/>
    </xf>
    <xf numFmtId="0" fontId="1" fillId="6" borderId="1" xfId="0" applyFont="1" applyFill="1" applyBorder="1" applyAlignment="1">
      <alignment horizontal="left"/>
    </xf>
    <xf numFmtId="0" fontId="1" fillId="6" borderId="5" xfId="0" applyFont="1" applyFill="1" applyBorder="1"/>
    <xf numFmtId="0" fontId="1" fillId="6" borderId="5" xfId="0" applyFont="1" applyFill="1" applyBorder="1" applyAlignment="1">
      <alignment wrapText="1"/>
    </xf>
    <xf numFmtId="0" fontId="0" fillId="8" borderId="0" xfId="0" applyFill="1"/>
    <xf numFmtId="0" fontId="1" fillId="0" borderId="0" xfId="0" applyFont="1" applyAlignment="1">
      <alignment wrapText="1"/>
    </xf>
    <xf numFmtId="0" fontId="1" fillId="9" borderId="5" xfId="0" applyFont="1" applyFill="1" applyBorder="1" applyAlignment="1">
      <alignment horizontal="left"/>
    </xf>
    <xf numFmtId="0" fontId="1" fillId="6" borderId="1" xfId="0" applyFont="1" applyFill="1" applyBorder="1"/>
    <xf numFmtId="0" fontId="1" fillId="9" borderId="5" xfId="0" applyFont="1" applyFill="1" applyBorder="1"/>
    <xf numFmtId="0" fontId="1" fillId="6" borderId="1" xfId="0" applyFont="1" applyFill="1" applyBorder="1" applyAlignment="1">
      <alignment wrapText="1"/>
    </xf>
    <xf numFmtId="0" fontId="1" fillId="9" borderId="5" xfId="0" applyFont="1" applyFill="1" applyBorder="1" applyAlignment="1">
      <alignment wrapText="1"/>
    </xf>
    <xf numFmtId="0" fontId="12" fillId="4" borderId="0" xfId="0" applyFont="1" applyFill="1" applyAlignment="1">
      <alignment vertical="top"/>
    </xf>
    <xf numFmtId="0" fontId="0" fillId="0" borderId="0" xfId="0" applyAlignment="1">
      <alignment horizontal="left" vertical="top"/>
    </xf>
    <xf numFmtId="0" fontId="0" fillId="0" borderId="0" xfId="0" applyAlignment="1">
      <alignment vertical="top"/>
    </xf>
    <xf numFmtId="0" fontId="12" fillId="4" borderId="5" xfId="0" applyFont="1" applyFill="1" applyBorder="1" applyAlignment="1">
      <alignment horizontal="left" vertical="top"/>
    </xf>
    <xf numFmtId="0" fontId="0" fillId="0" borderId="5" xfId="0" applyBorder="1" applyAlignment="1">
      <alignment horizontal="left" vertical="top"/>
    </xf>
    <xf numFmtId="16" fontId="0" fillId="0" borderId="5" xfId="0" applyNumberFormat="1" applyBorder="1" applyAlignment="1">
      <alignment horizontal="left" vertical="top"/>
    </xf>
    <xf numFmtId="0" fontId="0" fillId="0" borderId="5" xfId="0" applyBorder="1" applyAlignment="1">
      <alignment vertical="top"/>
    </xf>
    <xf numFmtId="0" fontId="0" fillId="0" borderId="5" xfId="0" applyBorder="1" applyAlignment="1">
      <alignment horizontal="left" vertical="top" wrapText="1"/>
    </xf>
    <xf numFmtId="0" fontId="0" fillId="0" borderId="5" xfId="0" applyBorder="1" applyAlignment="1">
      <alignment vertical="top" wrapText="1"/>
    </xf>
    <xf numFmtId="0" fontId="1" fillId="6" borderId="5" xfId="0" applyFont="1" applyFill="1" applyBorder="1" applyAlignment="1">
      <alignment horizontal="left" vertical="top"/>
    </xf>
    <xf numFmtId="0" fontId="1" fillId="6" borderId="1" xfId="0" applyFont="1" applyFill="1" applyBorder="1" applyAlignment="1">
      <alignment horizontal="left" vertical="top"/>
    </xf>
    <xf numFmtId="0" fontId="1" fillId="9" borderId="5" xfId="0" applyFont="1" applyFill="1" applyBorder="1" applyAlignment="1">
      <alignment horizontal="left" vertical="top"/>
    </xf>
    <xf numFmtId="0" fontId="1" fillId="0" borderId="0" xfId="0" applyFont="1" applyAlignment="1">
      <alignment horizontal="left" vertical="top"/>
    </xf>
    <xf numFmtId="0" fontId="4" fillId="4" borderId="11" xfId="0" applyFont="1" applyFill="1" applyBorder="1" applyAlignment="1">
      <alignment horizontal="left" vertical="top"/>
    </xf>
    <xf numFmtId="0" fontId="11" fillId="4" borderId="11" xfId="0" applyFont="1" applyFill="1" applyBorder="1" applyAlignment="1">
      <alignment horizontal="left" vertical="top" wrapText="1"/>
    </xf>
    <xf numFmtId="0" fontId="4" fillId="4" borderId="16" xfId="0" applyFont="1" applyFill="1" applyBorder="1" applyAlignment="1">
      <alignment horizontal="left" vertical="top"/>
    </xf>
    <xf numFmtId="0" fontId="1" fillId="9" borderId="5" xfId="0" applyFont="1" applyFill="1" applyBorder="1" applyAlignment="1">
      <alignment horizontal="left" vertical="top" wrapText="1"/>
    </xf>
    <xf numFmtId="0" fontId="11" fillId="4" borderId="16" xfId="0" applyFont="1" applyFill="1" applyBorder="1" applyAlignment="1">
      <alignment horizontal="left" vertical="top" wrapText="1"/>
    </xf>
    <xf numFmtId="0" fontId="1" fillId="9" borderId="5" xfId="0" applyFont="1" applyFill="1" applyBorder="1" applyAlignment="1">
      <alignment vertical="top" wrapText="1"/>
    </xf>
    <xf numFmtId="0" fontId="1" fillId="6" borderId="5" xfId="0" applyFont="1" applyFill="1" applyBorder="1" applyAlignment="1">
      <alignment vertical="top" wrapText="1"/>
    </xf>
    <xf numFmtId="0" fontId="1" fillId="9" borderId="22" xfId="0" applyFont="1" applyFill="1" applyBorder="1" applyAlignment="1">
      <alignment horizontal="left" vertical="top" wrapText="1"/>
    </xf>
    <xf numFmtId="0" fontId="1" fillId="6" borderId="1" xfId="0" applyFont="1" applyFill="1" applyBorder="1" applyAlignment="1">
      <alignment horizontal="center" vertical="top" wrapText="1"/>
    </xf>
    <xf numFmtId="0" fontId="1" fillId="6" borderId="6" xfId="0" applyFont="1" applyFill="1" applyBorder="1" applyAlignment="1">
      <alignment horizontal="center" vertical="top" wrapText="1"/>
    </xf>
    <xf numFmtId="0" fontId="1" fillId="6" borderId="15" xfId="0" applyFont="1" applyFill="1" applyBorder="1" applyAlignment="1">
      <alignment horizontal="center" vertical="top" wrapText="1"/>
    </xf>
    <xf numFmtId="0" fontId="11" fillId="2" borderId="5"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14"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11" xfId="0" applyFont="1" applyFill="1" applyBorder="1" applyAlignment="1">
      <alignment horizontal="left" vertical="center" wrapText="1"/>
    </xf>
    <xf numFmtId="0" fontId="11" fillId="2" borderId="5" xfId="0" applyFont="1" applyFill="1" applyBorder="1" applyAlignment="1">
      <alignment horizontal="left" vertical="center"/>
    </xf>
    <xf numFmtId="0" fontId="11" fillId="2" borderId="1" xfId="0" applyFont="1" applyFill="1" applyBorder="1" applyAlignment="1">
      <alignment horizontal="left" vertical="center"/>
    </xf>
    <xf numFmtId="0" fontId="11" fillId="2" borderId="1" xfId="0" applyFont="1" applyFill="1" applyBorder="1" applyAlignment="1">
      <alignment horizontal="left" vertical="top"/>
    </xf>
    <xf numFmtId="0" fontId="11" fillId="2" borderId="6" xfId="0" applyFont="1" applyFill="1" applyBorder="1" applyAlignment="1">
      <alignment horizontal="left" vertical="top"/>
    </xf>
    <xf numFmtId="0" fontId="11" fillId="2" borderId="6" xfId="0" applyFont="1" applyFill="1" applyBorder="1" applyAlignment="1">
      <alignment horizontal="left"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4" borderId="16" xfId="0" applyFont="1" applyFill="1" applyBorder="1" applyAlignment="1">
      <alignment horizontal="left" vertical="top" wrapText="1"/>
    </xf>
    <xf numFmtId="0" fontId="11" fillId="4" borderId="17" xfId="0" applyFont="1" applyFill="1" applyBorder="1" applyAlignment="1">
      <alignment horizontal="left" vertical="top" wrapText="1"/>
    </xf>
    <xf numFmtId="0" fontId="11" fillId="4" borderId="18" xfId="0" applyFont="1" applyFill="1" applyBorder="1" applyAlignment="1">
      <alignment horizontal="left" vertical="top" wrapText="1"/>
    </xf>
    <xf numFmtId="0" fontId="11" fillId="4" borderId="0" xfId="0" applyFont="1" applyFill="1" applyAlignment="1">
      <alignment horizontal="left" vertical="top" wrapText="1"/>
    </xf>
    <xf numFmtId="0" fontId="10" fillId="4" borderId="19" xfId="0" applyFont="1" applyFill="1" applyBorder="1" applyAlignment="1">
      <alignment horizontal="left" vertical="top"/>
    </xf>
    <xf numFmtId="0" fontId="10" fillId="4" borderId="20" xfId="0" applyFont="1" applyFill="1" applyBorder="1" applyAlignment="1">
      <alignment horizontal="left" vertical="top"/>
    </xf>
    <xf numFmtId="0" fontId="10" fillId="4" borderId="21" xfId="0" applyFont="1" applyFill="1" applyBorder="1" applyAlignment="1">
      <alignment horizontal="left" vertical="top"/>
    </xf>
    <xf numFmtId="0" fontId="11" fillId="4" borderId="23" xfId="0" applyFont="1" applyFill="1" applyBorder="1" applyAlignment="1">
      <alignment horizontal="left" vertical="top" wrapText="1"/>
    </xf>
    <xf numFmtId="0" fontId="4" fillId="3" borderId="7" xfId="0" applyFont="1" applyFill="1" applyBorder="1" applyAlignment="1">
      <alignment horizontal="left" vertical="center"/>
    </xf>
    <xf numFmtId="0" fontId="4" fillId="2" borderId="5" xfId="0" applyFont="1" applyFill="1" applyBorder="1" applyAlignment="1">
      <alignment horizontal="left" vertical="center"/>
    </xf>
    <xf numFmtId="0" fontId="4" fillId="2" borderId="1" xfId="0" applyFont="1" applyFill="1" applyBorder="1" applyAlignment="1">
      <alignment horizontal="left" vertical="center"/>
    </xf>
    <xf numFmtId="0" fontId="4" fillId="2" borderId="5"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3" xfId="0" applyFont="1" applyFill="1" applyBorder="1" applyAlignment="1">
      <alignment horizontal="left" vertical="center"/>
    </xf>
    <xf numFmtId="0" fontId="1" fillId="9" borderId="5" xfId="0" quotePrefix="1" applyFont="1" applyFill="1" applyBorder="1" applyAlignment="1">
      <alignment horizontal="left" vertical="top" wrapText="1"/>
    </xf>
    <xf numFmtId="0" fontId="1" fillId="6" borderId="5" xfId="0" applyFont="1" applyFill="1" applyBorder="1" applyAlignment="1">
      <alignment horizontal="left" vertical="top" wrapText="1"/>
    </xf>
    <xf numFmtId="0" fontId="1" fillId="10" borderId="5" xfId="0" applyFont="1" applyFill="1" applyBorder="1" applyAlignment="1">
      <alignment horizontal="left" vertical="top" wrapText="1"/>
    </xf>
    <xf numFmtId="0" fontId="1" fillId="6" borderId="22" xfId="0" applyFont="1" applyFill="1" applyBorder="1" applyAlignment="1">
      <alignment horizontal="left" vertical="top" wrapText="1"/>
    </xf>
    <xf numFmtId="0" fontId="0" fillId="9" borderId="0" xfId="0"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10</xdr:row>
      <xdr:rowOff>0</xdr:rowOff>
    </xdr:from>
    <xdr:to>
      <xdr:col>3</xdr:col>
      <xdr:colOff>304800</xdr:colOff>
      <xdr:row>10</xdr:row>
      <xdr:rowOff>303213</xdr:rowOff>
    </xdr:to>
    <xdr:sp macro="" textlink="">
      <xdr:nvSpPr>
        <xdr:cNvPr id="3073" name="AutoShape 1">
          <a:extLst>
            <a:ext uri="{FF2B5EF4-FFF2-40B4-BE49-F238E27FC236}">
              <a16:creationId xmlns:a16="http://schemas.microsoft.com/office/drawing/2014/main" id="{2106BE50-AC2A-A4E0-1F2C-700598FB1540}"/>
            </a:ext>
          </a:extLst>
        </xdr:cNvPr>
        <xdr:cNvSpPr>
          <a:spLocks noChangeAspect="1" noChangeArrowheads="1"/>
        </xdr:cNvSpPr>
      </xdr:nvSpPr>
      <xdr:spPr bwMode="auto">
        <a:xfrm>
          <a:off x="6369050" y="4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39688</xdr:colOff>
      <xdr:row>6</xdr:row>
      <xdr:rowOff>238126</xdr:rowOff>
    </xdr:from>
    <xdr:to>
      <xdr:col>4</xdr:col>
      <xdr:colOff>5633866</xdr:colOff>
      <xdr:row>6</xdr:row>
      <xdr:rowOff>1071563</xdr:rowOff>
    </xdr:to>
    <xdr:pic>
      <xdr:nvPicPr>
        <xdr:cNvPr id="2" name="Picture 1">
          <a:extLst>
            <a:ext uri="{FF2B5EF4-FFF2-40B4-BE49-F238E27FC236}">
              <a16:creationId xmlns:a16="http://schemas.microsoft.com/office/drawing/2014/main" id="{BEEC690F-4CF5-D318-9085-0DBB29C56983}"/>
            </a:ext>
          </a:extLst>
        </xdr:cNvPr>
        <xdr:cNvPicPr>
          <a:picLocks noChangeAspect="1"/>
        </xdr:cNvPicPr>
      </xdr:nvPicPr>
      <xdr:blipFill>
        <a:blip xmlns:r="http://schemas.openxmlformats.org/officeDocument/2006/relationships" r:embed="rId1"/>
        <a:stretch>
          <a:fillRect/>
        </a:stretch>
      </xdr:blipFill>
      <xdr:spPr>
        <a:xfrm>
          <a:off x="7739063" y="1333501"/>
          <a:ext cx="5594178" cy="8334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72573</xdr:colOff>
      <xdr:row>25</xdr:row>
      <xdr:rowOff>2249714</xdr:rowOff>
    </xdr:from>
    <xdr:to>
      <xdr:col>2</xdr:col>
      <xdr:colOff>4245429</xdr:colOff>
      <xdr:row>25</xdr:row>
      <xdr:rowOff>2848999</xdr:rowOff>
    </xdr:to>
    <xdr:pic>
      <xdr:nvPicPr>
        <xdr:cNvPr id="2" name="Picture 1">
          <a:extLst>
            <a:ext uri="{FF2B5EF4-FFF2-40B4-BE49-F238E27FC236}">
              <a16:creationId xmlns:a16="http://schemas.microsoft.com/office/drawing/2014/main" id="{73F469A1-3234-4265-9D62-77BA98A44849}"/>
            </a:ext>
          </a:extLst>
        </xdr:cNvPr>
        <xdr:cNvPicPr>
          <a:picLocks noChangeAspect="1"/>
        </xdr:cNvPicPr>
      </xdr:nvPicPr>
      <xdr:blipFill>
        <a:blip xmlns:r="http://schemas.openxmlformats.org/officeDocument/2006/relationships" r:embed="rId1"/>
        <a:stretch>
          <a:fillRect/>
        </a:stretch>
      </xdr:blipFill>
      <xdr:spPr>
        <a:xfrm>
          <a:off x="7095673" y="45734514"/>
          <a:ext cx="4172856" cy="59928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F0494D3-1CFA-4630-8448-66C24C154945}"/>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7412-5387-4F2D-889F-F52977E14CAC}">
  <dimension ref="A1:BS39"/>
  <sheetViews>
    <sheetView zoomScale="80" zoomScaleNormal="80" workbookViewId="0">
      <pane ySplit="3" topLeftCell="A18" activePane="bottomLeft" state="frozen"/>
      <selection pane="bottomLeft" activeCell="B1" sqref="B1:B3"/>
    </sheetView>
  </sheetViews>
  <sheetFormatPr defaultColWidth="9.1796875" defaultRowHeight="20.149999999999999" customHeight="1" x14ac:dyDescent="0.3"/>
  <cols>
    <col min="1" max="1" width="5" style="58" bestFit="1" customWidth="1"/>
    <col min="2" max="2" width="46.1796875" style="34" customWidth="1"/>
    <col min="3" max="3" width="7.1796875" style="34" customWidth="1"/>
    <col min="4" max="4" width="5.1796875" style="34" bestFit="1" customWidth="1"/>
    <col min="5" max="5" width="5.7265625" style="34" bestFit="1" customWidth="1"/>
    <col min="6" max="6" width="5.1796875" style="34" bestFit="1" customWidth="1"/>
    <col min="7" max="7" width="38.54296875" style="34" customWidth="1"/>
    <col min="8" max="9" width="9.1796875" style="34"/>
    <col min="10" max="10" width="20.26953125" style="34" customWidth="1"/>
    <col min="11" max="12" width="9.1796875" style="34"/>
    <col min="13" max="13" width="20" style="34" customWidth="1"/>
    <col min="14" max="14" width="36.26953125" style="34" customWidth="1"/>
    <col min="15" max="15" width="21.26953125" style="34" customWidth="1"/>
    <col min="16" max="16" width="9.1796875" style="34"/>
    <col min="17" max="17" width="22.81640625" style="34" customWidth="1"/>
    <col min="18" max="19" width="14.1796875" style="34" customWidth="1"/>
    <col min="20" max="20" width="9.26953125" style="34" customWidth="1"/>
    <col min="21" max="21" width="10.7265625" style="34" customWidth="1"/>
    <col min="22" max="22" width="28.26953125" style="34" customWidth="1"/>
    <col min="23" max="23" width="9.1796875" style="34" customWidth="1"/>
    <col min="24" max="24" width="19.26953125" style="34" customWidth="1"/>
    <col min="25" max="26" width="9.1796875" style="34" customWidth="1"/>
    <col min="27" max="27" width="14.6328125" style="34" customWidth="1"/>
    <col min="28" max="28" width="9.1796875" style="34" customWidth="1"/>
    <col min="29" max="29" width="17.1796875" style="40" customWidth="1"/>
    <col min="30" max="30" width="11.81640625" style="34" customWidth="1"/>
    <col min="31" max="31" width="11.7265625" style="34" customWidth="1"/>
    <col min="32" max="32" width="17.453125" style="34" customWidth="1"/>
    <col min="33" max="33" width="33.7265625" style="34" customWidth="1"/>
    <col min="34" max="34" width="19.7265625" style="34" customWidth="1"/>
    <col min="35" max="35" width="36.36328125" style="34" customWidth="1"/>
    <col min="36" max="36" width="9.1796875" style="34" customWidth="1"/>
    <col min="37" max="37" width="14.453125" style="34" customWidth="1"/>
    <col min="38" max="43" width="9.1796875" style="34" customWidth="1"/>
    <col min="44" max="44" width="12.54296875" style="34" customWidth="1"/>
    <col min="45" max="45" width="14.453125" style="34" customWidth="1"/>
    <col min="46" max="46" width="29.08984375" style="34" customWidth="1"/>
    <col min="47" max="47" width="28.7265625" style="34" customWidth="1"/>
    <col min="48" max="48" width="16.26953125" style="34" customWidth="1"/>
    <col min="49" max="50" width="9.1796875" style="34" customWidth="1"/>
    <col min="51" max="51" width="12" style="34" customWidth="1"/>
    <col min="52" max="54" width="9.1796875" style="34" customWidth="1"/>
    <col min="55" max="55" width="13.453125" style="34" customWidth="1"/>
    <col min="56" max="56" width="26" style="34" customWidth="1"/>
    <col min="57" max="57" width="31.36328125" style="34" customWidth="1"/>
    <col min="58" max="59" width="14.1796875" style="34" customWidth="1"/>
    <col min="60" max="60" width="10.6328125" style="34" customWidth="1"/>
    <col min="61" max="61" width="14.1796875" style="34" customWidth="1"/>
    <col min="62" max="62" width="10.6328125" style="34" customWidth="1"/>
    <col min="63" max="63" width="12.54296875" style="34" customWidth="1"/>
    <col min="64" max="65" width="19.26953125" style="34" bestFit="1" customWidth="1"/>
    <col min="66" max="66" width="9.1796875" style="34"/>
    <col min="67" max="67" width="15" style="34" customWidth="1"/>
    <col min="68" max="69" width="9.1796875" style="34"/>
    <col min="70" max="70" width="21.36328125" style="34" customWidth="1"/>
    <col min="71" max="16384" width="9.1796875" style="34"/>
  </cols>
  <sheetData>
    <row r="1" spans="1:71" ht="20.149999999999999" customHeight="1" x14ac:dyDescent="0.3">
      <c r="A1" s="78" t="s">
        <v>0</v>
      </c>
      <c r="B1" s="78" t="s">
        <v>1</v>
      </c>
      <c r="C1" s="81" t="s">
        <v>2</v>
      </c>
      <c r="D1" s="82"/>
      <c r="E1" s="82"/>
      <c r="F1" s="83"/>
      <c r="G1" s="84" t="s">
        <v>3</v>
      </c>
      <c r="H1" s="84"/>
      <c r="I1" s="84"/>
      <c r="J1" s="77" t="s">
        <v>4</v>
      </c>
      <c r="K1" s="70" t="s">
        <v>5</v>
      </c>
      <c r="L1" s="70" t="s">
        <v>7</v>
      </c>
      <c r="M1" s="70" t="s">
        <v>8</v>
      </c>
      <c r="N1" s="70" t="s">
        <v>9</v>
      </c>
      <c r="O1" s="70" t="s">
        <v>10</v>
      </c>
      <c r="P1" s="70" t="s">
        <v>11</v>
      </c>
      <c r="Q1" s="70" t="s">
        <v>12</v>
      </c>
      <c r="R1" s="70" t="s">
        <v>298</v>
      </c>
      <c r="S1" s="70" t="s">
        <v>365</v>
      </c>
      <c r="T1" s="70" t="s">
        <v>364</v>
      </c>
      <c r="U1" s="70" t="s">
        <v>366</v>
      </c>
      <c r="V1" s="70" t="s">
        <v>14</v>
      </c>
      <c r="W1" s="70" t="s">
        <v>16</v>
      </c>
      <c r="X1" s="70" t="s">
        <v>17</v>
      </c>
      <c r="Y1" s="76" t="s">
        <v>297</v>
      </c>
      <c r="Z1" s="70" t="s">
        <v>19</v>
      </c>
      <c r="AA1" s="70" t="s">
        <v>20</v>
      </c>
      <c r="AB1" s="70" t="s">
        <v>21</v>
      </c>
      <c r="AC1" s="70" t="s">
        <v>22</v>
      </c>
      <c r="AD1" s="70" t="s">
        <v>23</v>
      </c>
      <c r="AE1" s="70" t="s">
        <v>24</v>
      </c>
      <c r="AF1" s="70" t="s">
        <v>25</v>
      </c>
      <c r="AG1" s="70" t="s">
        <v>26</v>
      </c>
      <c r="AH1" s="70" t="s">
        <v>27</v>
      </c>
      <c r="AI1" s="76" t="s">
        <v>28</v>
      </c>
      <c r="AJ1" s="76" t="s">
        <v>29</v>
      </c>
      <c r="AK1" s="76" t="s">
        <v>30</v>
      </c>
      <c r="AL1" s="70" t="s">
        <v>31</v>
      </c>
      <c r="AM1" s="70" t="s">
        <v>32</v>
      </c>
      <c r="AN1" s="70" t="s">
        <v>33</v>
      </c>
      <c r="AO1" s="70" t="s">
        <v>34</v>
      </c>
      <c r="AP1" s="70" t="s">
        <v>35</v>
      </c>
      <c r="AQ1" s="70" t="s">
        <v>36</v>
      </c>
      <c r="AR1" s="70" t="s">
        <v>37</v>
      </c>
      <c r="AS1" s="70" t="s">
        <v>38</v>
      </c>
      <c r="AT1" s="70" t="s">
        <v>39</v>
      </c>
      <c r="AU1" s="76" t="s">
        <v>40</v>
      </c>
      <c r="AV1" s="76" t="s">
        <v>41</v>
      </c>
      <c r="AW1" s="70" t="s">
        <v>42</v>
      </c>
      <c r="AX1" s="70" t="s">
        <v>43</v>
      </c>
      <c r="AY1" s="70" t="s">
        <v>44</v>
      </c>
      <c r="AZ1" s="70" t="s">
        <v>312</v>
      </c>
      <c r="BA1" s="70" t="s">
        <v>46</v>
      </c>
      <c r="BB1" s="70" t="s">
        <v>47</v>
      </c>
      <c r="BC1" s="70" t="s">
        <v>48</v>
      </c>
      <c r="BD1" s="70" t="s">
        <v>49</v>
      </c>
      <c r="BE1" s="70" t="s">
        <v>375</v>
      </c>
      <c r="BF1" s="70" t="s">
        <v>377</v>
      </c>
      <c r="BG1" s="70" t="s">
        <v>376</v>
      </c>
      <c r="BH1" s="70" t="s">
        <v>53</v>
      </c>
      <c r="BI1" s="70" t="s">
        <v>378</v>
      </c>
      <c r="BJ1" s="70" t="s">
        <v>379</v>
      </c>
      <c r="BK1" s="76" t="s">
        <v>50</v>
      </c>
      <c r="BL1" s="76" t="s">
        <v>361</v>
      </c>
      <c r="BM1" s="70" t="s">
        <v>413</v>
      </c>
      <c r="BN1" s="70" t="s">
        <v>309</v>
      </c>
      <c r="BO1" s="70" t="s">
        <v>54</v>
      </c>
      <c r="BP1" s="70" t="s">
        <v>55</v>
      </c>
      <c r="BQ1" s="72" t="s">
        <v>56</v>
      </c>
      <c r="BR1" s="74" t="s">
        <v>58</v>
      </c>
      <c r="BS1" s="74" t="s">
        <v>59</v>
      </c>
    </row>
    <row r="2" spans="1:71" ht="20.149999999999999" customHeight="1" x14ac:dyDescent="0.3">
      <c r="A2" s="79"/>
      <c r="B2" s="79"/>
      <c r="C2" s="70" t="s">
        <v>60</v>
      </c>
      <c r="D2" s="76" t="s">
        <v>61</v>
      </c>
      <c r="E2" s="76" t="s">
        <v>62</v>
      </c>
      <c r="F2" s="76" t="s">
        <v>63</v>
      </c>
      <c r="G2" s="70" t="s">
        <v>64</v>
      </c>
      <c r="H2" s="70" t="s">
        <v>65</v>
      </c>
      <c r="I2" s="70" t="s">
        <v>66</v>
      </c>
      <c r="J2" s="80"/>
      <c r="K2" s="70"/>
      <c r="L2" s="70"/>
      <c r="M2" s="70"/>
      <c r="N2" s="70"/>
      <c r="O2" s="70"/>
      <c r="P2" s="70"/>
      <c r="Q2" s="70"/>
      <c r="R2" s="70"/>
      <c r="S2" s="70"/>
      <c r="T2" s="70"/>
      <c r="U2" s="70"/>
      <c r="V2" s="70"/>
      <c r="W2" s="70"/>
      <c r="X2" s="70"/>
      <c r="Y2" s="76"/>
      <c r="Z2" s="70"/>
      <c r="AA2" s="70"/>
      <c r="AB2" s="70"/>
      <c r="AC2" s="70"/>
      <c r="AD2" s="70"/>
      <c r="AE2" s="70"/>
      <c r="AF2" s="70"/>
      <c r="AG2" s="70"/>
      <c r="AH2" s="70"/>
      <c r="AI2" s="76"/>
      <c r="AJ2" s="76"/>
      <c r="AK2" s="76"/>
      <c r="AL2" s="70"/>
      <c r="AM2" s="70"/>
      <c r="AN2" s="70"/>
      <c r="AO2" s="70"/>
      <c r="AP2" s="70"/>
      <c r="AQ2" s="70"/>
      <c r="AR2" s="70"/>
      <c r="AS2" s="70"/>
      <c r="AT2" s="70"/>
      <c r="AU2" s="76"/>
      <c r="AV2" s="76"/>
      <c r="AW2" s="70"/>
      <c r="AX2" s="70"/>
      <c r="AY2" s="70"/>
      <c r="AZ2" s="70"/>
      <c r="BA2" s="70"/>
      <c r="BB2" s="70"/>
      <c r="BC2" s="70"/>
      <c r="BD2" s="70"/>
      <c r="BE2" s="70"/>
      <c r="BF2" s="70"/>
      <c r="BG2" s="70"/>
      <c r="BH2" s="70"/>
      <c r="BI2" s="70"/>
      <c r="BJ2" s="70"/>
      <c r="BK2" s="76"/>
      <c r="BL2" s="76"/>
      <c r="BM2" s="70"/>
      <c r="BN2" s="70"/>
      <c r="BO2" s="70"/>
      <c r="BP2" s="70"/>
      <c r="BQ2" s="72"/>
      <c r="BR2" s="74"/>
      <c r="BS2" s="74"/>
    </row>
    <row r="3" spans="1:71" ht="20.149999999999999" customHeight="1" x14ac:dyDescent="0.3">
      <c r="A3" s="79"/>
      <c r="B3" s="79"/>
      <c r="C3" s="71"/>
      <c r="D3" s="77"/>
      <c r="E3" s="77"/>
      <c r="F3" s="77"/>
      <c r="G3" s="71"/>
      <c r="H3" s="71"/>
      <c r="I3" s="71"/>
      <c r="J3" s="80"/>
      <c r="K3" s="71"/>
      <c r="L3" s="71"/>
      <c r="M3" s="71"/>
      <c r="N3" s="71"/>
      <c r="O3" s="71"/>
      <c r="P3" s="71"/>
      <c r="Q3" s="71"/>
      <c r="R3" s="71"/>
      <c r="S3" s="71"/>
      <c r="T3" s="71"/>
      <c r="U3" s="71"/>
      <c r="V3" s="71"/>
      <c r="W3" s="71"/>
      <c r="X3" s="71"/>
      <c r="Y3" s="77"/>
      <c r="Z3" s="71"/>
      <c r="AA3" s="71"/>
      <c r="AB3" s="71"/>
      <c r="AC3" s="71"/>
      <c r="AD3" s="71"/>
      <c r="AE3" s="71"/>
      <c r="AF3" s="71"/>
      <c r="AG3" s="71"/>
      <c r="AH3" s="71"/>
      <c r="AI3" s="77"/>
      <c r="AJ3" s="77"/>
      <c r="AK3" s="77"/>
      <c r="AL3" s="71"/>
      <c r="AM3" s="71"/>
      <c r="AN3" s="71"/>
      <c r="AO3" s="71"/>
      <c r="AP3" s="71"/>
      <c r="AQ3" s="71"/>
      <c r="AR3" s="71"/>
      <c r="AS3" s="71"/>
      <c r="AT3" s="71"/>
      <c r="AU3" s="77"/>
      <c r="AV3" s="77"/>
      <c r="AW3" s="71"/>
      <c r="AX3" s="71"/>
      <c r="AY3" s="71"/>
      <c r="AZ3" s="71"/>
      <c r="BA3" s="71"/>
      <c r="BB3" s="71"/>
      <c r="BC3" s="71"/>
      <c r="BD3" s="71"/>
      <c r="BE3" s="71"/>
      <c r="BF3" s="71"/>
      <c r="BG3" s="71"/>
      <c r="BH3" s="71"/>
      <c r="BI3" s="71"/>
      <c r="BJ3" s="71"/>
      <c r="BK3" s="77"/>
      <c r="BL3" s="77"/>
      <c r="BM3" s="71"/>
      <c r="BN3" s="71"/>
      <c r="BO3" s="71"/>
      <c r="BP3" s="71"/>
      <c r="BQ3" s="73"/>
      <c r="BR3" s="75"/>
      <c r="BS3" s="75"/>
    </row>
    <row r="4" spans="1:71" ht="20.149999999999999" customHeight="1" x14ac:dyDescent="0.3">
      <c r="A4" s="55">
        <v>1</v>
      </c>
      <c r="B4" s="37" t="str">
        <f>"Oct_Release_FixedOrders_J9_COT_E2E_TOM_00"&amp;A4&amp;""</f>
        <v>Oct_Release_FixedOrders_J9_COT_E2E_TOM_001</v>
      </c>
      <c r="C4" s="37" t="s">
        <v>67</v>
      </c>
      <c r="D4" s="37" t="s">
        <v>67</v>
      </c>
      <c r="E4" s="37" t="s">
        <v>68</v>
      </c>
      <c r="F4" s="37" t="s">
        <v>67</v>
      </c>
      <c r="G4" s="37" t="str">
        <f>"A valid SSO SSJ Journey for "&amp;AI4</f>
        <v>A valid SSO SSJ Journey for COT Across NW</v>
      </c>
      <c r="H4" s="37" t="s">
        <v>69</v>
      </c>
      <c r="I4" s="37" t="s">
        <v>70</v>
      </c>
      <c r="J4" s="37" t="s">
        <v>71</v>
      </c>
      <c r="K4" s="37" t="s">
        <v>72</v>
      </c>
      <c r="L4" s="37" t="s">
        <v>74</v>
      </c>
      <c r="M4" s="37" t="s">
        <v>75</v>
      </c>
      <c r="N4" s="37" t="s">
        <v>76</v>
      </c>
      <c r="O4" s="37" t="s">
        <v>77</v>
      </c>
      <c r="P4" s="37" t="s">
        <v>78</v>
      </c>
      <c r="Q4" s="37" t="s">
        <v>79</v>
      </c>
      <c r="R4" s="37" t="s">
        <v>67</v>
      </c>
      <c r="S4" s="37" t="s">
        <v>83</v>
      </c>
      <c r="T4" s="37" t="s">
        <v>83</v>
      </c>
      <c r="U4" s="37" t="s">
        <v>83</v>
      </c>
      <c r="V4" s="37" t="s">
        <v>310</v>
      </c>
      <c r="W4" s="37" t="s">
        <v>91</v>
      </c>
      <c r="X4" s="37" t="s">
        <v>83</v>
      </c>
      <c r="Y4" s="37" t="s">
        <v>84</v>
      </c>
      <c r="Z4" s="37" t="s">
        <v>70</v>
      </c>
      <c r="AA4" s="37" t="s">
        <v>294</v>
      </c>
      <c r="AB4" s="37" t="s">
        <v>85</v>
      </c>
      <c r="AC4" s="37" t="s">
        <v>67</v>
      </c>
      <c r="AD4" s="37" t="s">
        <v>86</v>
      </c>
      <c r="AE4" s="37" t="s">
        <v>87</v>
      </c>
      <c r="AF4" s="37" t="s">
        <v>88</v>
      </c>
      <c r="AG4" s="37" t="s">
        <v>67</v>
      </c>
      <c r="AH4" s="37" t="s">
        <v>89</v>
      </c>
      <c r="AI4" s="37" t="s">
        <v>90</v>
      </c>
      <c r="AJ4" s="37" t="s">
        <v>91</v>
      </c>
      <c r="AK4" s="37" t="s">
        <v>81</v>
      </c>
      <c r="AL4" s="37" t="s">
        <v>67</v>
      </c>
      <c r="AM4" s="37" t="s">
        <v>92</v>
      </c>
      <c r="AN4" s="37" t="s">
        <v>67</v>
      </c>
      <c r="AO4" s="37" t="s">
        <v>67</v>
      </c>
      <c r="AP4" s="35" t="s">
        <v>67</v>
      </c>
      <c r="AQ4" s="35" t="s">
        <v>67</v>
      </c>
      <c r="AR4" s="35" t="s">
        <v>67</v>
      </c>
      <c r="AS4" s="38" t="s">
        <v>96</v>
      </c>
      <c r="AT4" s="38" t="s">
        <v>67</v>
      </c>
      <c r="AU4" s="37" t="s">
        <v>97</v>
      </c>
      <c r="AV4" s="37" t="s">
        <v>98</v>
      </c>
      <c r="AW4" s="37" t="s">
        <v>99</v>
      </c>
      <c r="AX4" s="37" t="s">
        <v>79</v>
      </c>
      <c r="AY4" s="37" t="s">
        <v>67</v>
      </c>
      <c r="AZ4" s="37" t="s">
        <v>67</v>
      </c>
      <c r="BA4" s="37" t="s">
        <v>67</v>
      </c>
      <c r="BB4" s="37" t="s">
        <v>67</v>
      </c>
      <c r="BC4" s="37" t="s">
        <v>67</v>
      </c>
      <c r="BD4" s="37" t="s">
        <v>67</v>
      </c>
      <c r="BE4" s="37" t="s">
        <v>83</v>
      </c>
      <c r="BF4" s="37" t="s">
        <v>67</v>
      </c>
      <c r="BG4" s="37" t="s">
        <v>83</v>
      </c>
      <c r="BH4" s="37" t="s">
        <v>67</v>
      </c>
      <c r="BI4" s="37" t="s">
        <v>83</v>
      </c>
      <c r="BJ4" s="37" t="s">
        <v>67</v>
      </c>
      <c r="BK4" s="37" t="s">
        <v>100</v>
      </c>
      <c r="BL4" s="37" t="s">
        <v>300</v>
      </c>
      <c r="BM4" s="37" t="s">
        <v>415</v>
      </c>
      <c r="BN4" s="37" t="s">
        <v>67</v>
      </c>
      <c r="BO4" s="37" t="s">
        <v>67</v>
      </c>
      <c r="BP4" s="37" t="s">
        <v>67</v>
      </c>
      <c r="BQ4" s="37" t="s">
        <v>67</v>
      </c>
      <c r="BR4" s="67" t="s">
        <v>362</v>
      </c>
      <c r="BS4" s="37">
        <v>5</v>
      </c>
    </row>
    <row r="5" spans="1:71" ht="20.149999999999999" customHeight="1" x14ac:dyDescent="0.3">
      <c r="A5" s="55">
        <v>2</v>
      </c>
      <c r="B5" s="37" t="str">
        <f t="shared" ref="B5:B39" si="0">"Oct_Release_FixedOrders_J9_COT_E2E_TOM_00"&amp;A5&amp;""</f>
        <v>Oct_Release_FixedOrders_J9_COT_E2E_TOM_002</v>
      </c>
      <c r="C5" s="37" t="s">
        <v>67</v>
      </c>
      <c r="D5" s="37" t="s">
        <v>67</v>
      </c>
      <c r="E5" s="37" t="s">
        <v>68</v>
      </c>
      <c r="F5" s="37" t="s">
        <v>67</v>
      </c>
      <c r="G5" s="37" t="str">
        <f>"A valid SSO SSJ Journey for "&amp;AI5</f>
        <v>A valid SSO SSJ Journey for COT Across NW</v>
      </c>
      <c r="H5" s="37" t="s">
        <v>69</v>
      </c>
      <c r="I5" s="37" t="s">
        <v>70</v>
      </c>
      <c r="J5" s="37" t="s">
        <v>71</v>
      </c>
      <c r="K5" s="37" t="s">
        <v>72</v>
      </c>
      <c r="L5" s="37" t="s">
        <v>74</v>
      </c>
      <c r="M5" s="37" t="s">
        <v>322</v>
      </c>
      <c r="N5" s="37" t="s">
        <v>76</v>
      </c>
      <c r="O5" s="37" t="s">
        <v>77</v>
      </c>
      <c r="P5" s="37" t="s">
        <v>78</v>
      </c>
      <c r="Q5" s="37" t="s">
        <v>79</v>
      </c>
      <c r="R5" s="37" t="s">
        <v>67</v>
      </c>
      <c r="S5" s="37" t="s">
        <v>83</v>
      </c>
      <c r="T5" s="37" t="s">
        <v>83</v>
      </c>
      <c r="U5" s="37" t="s">
        <v>83</v>
      </c>
      <c r="V5" s="37" t="s">
        <v>310</v>
      </c>
      <c r="W5" s="37" t="s">
        <v>91</v>
      </c>
      <c r="X5" s="37" t="s">
        <v>83</v>
      </c>
      <c r="Y5" s="37" t="s">
        <v>102</v>
      </c>
      <c r="Z5" s="37" t="s">
        <v>70</v>
      </c>
      <c r="AA5" s="37" t="s">
        <v>294</v>
      </c>
      <c r="AB5" s="37" t="s">
        <v>103</v>
      </c>
      <c r="AC5" s="37" t="s">
        <v>67</v>
      </c>
      <c r="AD5" s="37" t="s">
        <v>86</v>
      </c>
      <c r="AE5" s="37" t="s">
        <v>87</v>
      </c>
      <c r="AF5" s="37" t="s">
        <v>88</v>
      </c>
      <c r="AG5" s="37" t="s">
        <v>67</v>
      </c>
      <c r="AH5" s="37" t="s">
        <v>89</v>
      </c>
      <c r="AI5" s="37" t="s">
        <v>90</v>
      </c>
      <c r="AJ5" s="37" t="s">
        <v>91</v>
      </c>
      <c r="AK5" s="37" t="s">
        <v>81</v>
      </c>
      <c r="AL5" s="37" t="s">
        <v>67</v>
      </c>
      <c r="AM5" s="37" t="s">
        <v>93</v>
      </c>
      <c r="AN5" s="37" t="s">
        <v>93</v>
      </c>
      <c r="AO5" s="37" t="s">
        <v>104</v>
      </c>
      <c r="AP5" s="35" t="s">
        <v>105</v>
      </c>
      <c r="AQ5" s="35">
        <v>2200</v>
      </c>
      <c r="AR5" s="35" t="s">
        <v>106</v>
      </c>
      <c r="AS5" s="38" t="s">
        <v>96</v>
      </c>
      <c r="AT5" s="38" t="s">
        <v>67</v>
      </c>
      <c r="AU5" s="37" t="s">
        <v>97</v>
      </c>
      <c r="AV5" s="37" t="s">
        <v>107</v>
      </c>
      <c r="AW5" s="37" t="s">
        <v>108</v>
      </c>
      <c r="AX5" s="37" t="s">
        <v>123</v>
      </c>
      <c r="AY5" s="37" t="s">
        <v>67</v>
      </c>
      <c r="AZ5" s="37" t="s">
        <v>67</v>
      </c>
      <c r="BA5" s="37" t="s">
        <v>127</v>
      </c>
      <c r="BB5" s="37" t="s">
        <v>70</v>
      </c>
      <c r="BC5" s="37" t="s">
        <v>143</v>
      </c>
      <c r="BD5" s="37" t="s">
        <v>195</v>
      </c>
      <c r="BE5" s="37" t="s">
        <v>380</v>
      </c>
      <c r="BF5" s="37" t="str">
        <f>BA5</f>
        <v>Instock</v>
      </c>
      <c r="BG5" s="37" t="s">
        <v>386</v>
      </c>
      <c r="BH5" s="37" t="s">
        <v>387</v>
      </c>
      <c r="BI5" s="37" t="s">
        <v>390</v>
      </c>
      <c r="BJ5" s="37" t="s">
        <v>387</v>
      </c>
      <c r="BK5" s="37" t="s">
        <v>100</v>
      </c>
      <c r="BL5" s="37" t="s">
        <v>300</v>
      </c>
      <c r="BM5" s="37" t="s">
        <v>415</v>
      </c>
      <c r="BN5" s="37" t="s">
        <v>70</v>
      </c>
      <c r="BO5" s="37" t="s">
        <v>153</v>
      </c>
      <c r="BP5" s="37" t="s">
        <v>154</v>
      </c>
      <c r="BQ5" s="37" t="s">
        <v>155</v>
      </c>
      <c r="BR5" s="68"/>
      <c r="BS5" s="37">
        <v>5</v>
      </c>
    </row>
    <row r="6" spans="1:71" ht="20.149999999999999" customHeight="1" x14ac:dyDescent="0.3">
      <c r="A6" s="55">
        <v>3</v>
      </c>
      <c r="B6" s="37" t="str">
        <f t="shared" si="0"/>
        <v>Oct_Release_FixedOrders_J9_COT_E2E_TOM_003</v>
      </c>
      <c r="C6" s="37" t="s">
        <v>67</v>
      </c>
      <c r="D6" s="37" t="s">
        <v>67</v>
      </c>
      <c r="E6" s="37" t="s">
        <v>68</v>
      </c>
      <c r="F6" s="37" t="s">
        <v>67</v>
      </c>
      <c r="G6" s="37" t="str">
        <f>"A valid SSO SSJ Journey for "&amp;AI6</f>
        <v>A valid SSO SSJ Journey for COT Across NW -  Connect Outstanding</v>
      </c>
      <c r="H6" s="37" t="s">
        <v>70</v>
      </c>
      <c r="I6" s="37" t="s">
        <v>69</v>
      </c>
      <c r="J6" s="37" t="s">
        <v>71</v>
      </c>
      <c r="K6" s="37" t="s">
        <v>72</v>
      </c>
      <c r="L6" s="37" t="s">
        <v>82</v>
      </c>
      <c r="M6" s="37" t="s">
        <v>81</v>
      </c>
      <c r="N6" s="37" t="s">
        <v>109</v>
      </c>
      <c r="O6" s="37" t="s">
        <v>110</v>
      </c>
      <c r="P6" s="37" t="s">
        <v>111</v>
      </c>
      <c r="Q6" s="37" t="s">
        <v>123</v>
      </c>
      <c r="R6" s="37" t="s">
        <v>185</v>
      </c>
      <c r="S6" s="37" t="s">
        <v>367</v>
      </c>
      <c r="T6" s="37" t="s">
        <v>372</v>
      </c>
      <c r="U6" s="37" t="s">
        <v>83</v>
      </c>
      <c r="V6" s="37" t="s">
        <v>278</v>
      </c>
      <c r="W6" s="37" t="s">
        <v>82</v>
      </c>
      <c r="X6" s="37" t="s">
        <v>135</v>
      </c>
      <c r="Y6" s="37" t="s">
        <v>67</v>
      </c>
      <c r="Z6" s="37" t="s">
        <v>69</v>
      </c>
      <c r="AA6" s="37" t="s">
        <v>67</v>
      </c>
      <c r="AB6" s="37" t="s">
        <v>112</v>
      </c>
      <c r="AC6" s="37" t="s">
        <v>67</v>
      </c>
      <c r="AD6" s="37" t="s">
        <v>335</v>
      </c>
      <c r="AE6" s="37" t="s">
        <v>336</v>
      </c>
      <c r="AF6" s="37" t="s">
        <v>115</v>
      </c>
      <c r="AG6" s="38" t="s">
        <v>116</v>
      </c>
      <c r="AH6" s="37" t="s">
        <v>338</v>
      </c>
      <c r="AI6" s="37" t="s">
        <v>337</v>
      </c>
      <c r="AJ6" s="37" t="s">
        <v>91</v>
      </c>
      <c r="AK6" s="37" t="s">
        <v>81</v>
      </c>
      <c r="AL6" s="37" t="s">
        <v>67</v>
      </c>
      <c r="AM6" s="37" t="s">
        <v>356</v>
      </c>
      <c r="AN6" s="37" t="s">
        <v>93</v>
      </c>
      <c r="AO6" s="37" t="s">
        <v>94</v>
      </c>
      <c r="AP6" s="35" t="s">
        <v>95</v>
      </c>
      <c r="AQ6" s="35">
        <v>1300</v>
      </c>
      <c r="AR6" s="35" t="s">
        <v>106</v>
      </c>
      <c r="AS6" s="38" t="s">
        <v>360</v>
      </c>
      <c r="AT6" s="38" t="s">
        <v>67</v>
      </c>
      <c r="AU6" s="37" t="s">
        <v>118</v>
      </c>
      <c r="AV6" s="37" t="s">
        <v>107</v>
      </c>
      <c r="AW6" s="37" t="s">
        <v>108</v>
      </c>
      <c r="AX6" s="37" t="s">
        <v>79</v>
      </c>
      <c r="AY6" s="37" t="s">
        <v>119</v>
      </c>
      <c r="AZ6" s="37" t="s">
        <v>67</v>
      </c>
      <c r="BA6" s="37" t="s">
        <v>67</v>
      </c>
      <c r="BB6" s="37" t="s">
        <v>67</v>
      </c>
      <c r="BC6" s="37" t="s">
        <v>67</v>
      </c>
      <c r="BD6" s="37" t="s">
        <v>186</v>
      </c>
      <c r="BE6" s="37" t="s">
        <v>392</v>
      </c>
      <c r="BF6" s="37" t="s">
        <v>67</v>
      </c>
      <c r="BG6" s="37" t="s">
        <v>432</v>
      </c>
      <c r="BH6" s="37" t="s">
        <v>67</v>
      </c>
      <c r="BI6" s="37" t="s">
        <v>83</v>
      </c>
      <c r="BJ6" s="37" t="s">
        <v>67</v>
      </c>
      <c r="BK6" s="37" t="s">
        <v>120</v>
      </c>
      <c r="BL6" s="37" t="s">
        <v>300</v>
      </c>
      <c r="BM6" s="37" t="s">
        <v>415</v>
      </c>
      <c r="BN6" s="37" t="s">
        <v>67</v>
      </c>
      <c r="BO6" s="37" t="s">
        <v>67</v>
      </c>
      <c r="BP6" s="37" t="s">
        <v>67</v>
      </c>
      <c r="BQ6" s="37" t="s">
        <v>67</v>
      </c>
      <c r="BR6" s="68"/>
      <c r="BS6" s="37">
        <v>5</v>
      </c>
    </row>
    <row r="7" spans="1:71" ht="20.149999999999999" customHeight="1" x14ac:dyDescent="0.3">
      <c r="A7" s="55">
        <v>4</v>
      </c>
      <c r="B7" s="37" t="str">
        <f t="shared" si="0"/>
        <v>Oct_Release_FixedOrders_J9_COT_E2E_TOM_004</v>
      </c>
      <c r="C7" s="37" t="s">
        <v>67</v>
      </c>
      <c r="D7" s="37" t="s">
        <v>67</v>
      </c>
      <c r="E7" s="37" t="s">
        <v>68</v>
      </c>
      <c r="F7" s="37" t="s">
        <v>67</v>
      </c>
      <c r="G7" s="37" t="str">
        <f>"A valid SSO SSJ Journey for "&amp;AI7</f>
        <v>A valid SSO SSJ Journey for COT Across NW - Internal Loss (TPG to VF)</v>
      </c>
      <c r="H7" s="37" t="s">
        <v>69</v>
      </c>
      <c r="I7" s="37" t="s">
        <v>70</v>
      </c>
      <c r="J7" s="37" t="s">
        <v>71</v>
      </c>
      <c r="K7" s="37" t="s">
        <v>72</v>
      </c>
      <c r="L7" s="37" t="s">
        <v>82</v>
      </c>
      <c r="M7" s="37" t="s">
        <v>81</v>
      </c>
      <c r="N7" s="37" t="s">
        <v>109</v>
      </c>
      <c r="O7" s="37" t="s">
        <v>121</v>
      </c>
      <c r="P7" s="37" t="s">
        <v>122</v>
      </c>
      <c r="Q7" s="37" t="s">
        <v>123</v>
      </c>
      <c r="R7" s="37" t="s">
        <v>67</v>
      </c>
      <c r="S7" s="37" t="s">
        <v>368</v>
      </c>
      <c r="T7" s="37" t="s">
        <v>373</v>
      </c>
      <c r="U7" s="37" t="s">
        <v>388</v>
      </c>
      <c r="V7" s="37" t="s">
        <v>278</v>
      </c>
      <c r="W7" s="37" t="s">
        <v>82</v>
      </c>
      <c r="X7" s="37" t="s">
        <v>135</v>
      </c>
      <c r="Y7" s="37" t="s">
        <v>67</v>
      </c>
      <c r="Z7" s="37" t="s">
        <v>69</v>
      </c>
      <c r="AA7" s="37" t="s">
        <v>67</v>
      </c>
      <c r="AB7" s="37" t="s">
        <v>112</v>
      </c>
      <c r="AC7" s="37" t="s">
        <v>67</v>
      </c>
      <c r="AD7" s="37" t="s">
        <v>113</v>
      </c>
      <c r="AE7" s="37" t="s">
        <v>124</v>
      </c>
      <c r="AF7" s="37" t="s">
        <v>115</v>
      </c>
      <c r="AG7" s="38" t="s">
        <v>116</v>
      </c>
      <c r="AH7" s="37" t="s">
        <v>89</v>
      </c>
      <c r="AI7" s="37" t="s">
        <v>339</v>
      </c>
      <c r="AJ7" s="37" t="s">
        <v>91</v>
      </c>
      <c r="AK7" s="37" t="s">
        <v>81</v>
      </c>
      <c r="AL7" s="37" t="s">
        <v>67</v>
      </c>
      <c r="AM7" s="37" t="s">
        <v>93</v>
      </c>
      <c r="AN7" s="37" t="s">
        <v>93</v>
      </c>
      <c r="AO7" s="37" t="s">
        <v>94</v>
      </c>
      <c r="AP7" s="35" t="s">
        <v>95</v>
      </c>
      <c r="AQ7" s="35">
        <v>1300</v>
      </c>
      <c r="AR7" s="35" t="s">
        <v>106</v>
      </c>
      <c r="AS7" s="38" t="s">
        <v>96</v>
      </c>
      <c r="AT7" s="38" t="s">
        <v>67</v>
      </c>
      <c r="AU7" s="37" t="s">
        <v>97</v>
      </c>
      <c r="AV7" s="37" t="s">
        <v>98</v>
      </c>
      <c r="AW7" s="37" t="s">
        <v>99</v>
      </c>
      <c r="AX7" s="37" t="s">
        <v>123</v>
      </c>
      <c r="AY7" s="37" t="s">
        <v>67</v>
      </c>
      <c r="AZ7" s="37" t="s">
        <v>67</v>
      </c>
      <c r="BA7" s="37" t="s">
        <v>152</v>
      </c>
      <c r="BB7" s="37" t="s">
        <v>70</v>
      </c>
      <c r="BC7" s="37" t="s">
        <v>125</v>
      </c>
      <c r="BD7" s="37" t="s">
        <v>126</v>
      </c>
      <c r="BE7" s="37" t="s">
        <v>393</v>
      </c>
      <c r="BF7" s="37" t="s">
        <v>67</v>
      </c>
      <c r="BG7" s="37" t="s">
        <v>432</v>
      </c>
      <c r="BH7" s="37" t="s">
        <v>67</v>
      </c>
      <c r="BI7" s="37" t="s">
        <v>432</v>
      </c>
      <c r="BJ7" s="37" t="s">
        <v>67</v>
      </c>
      <c r="BK7" s="37" t="s">
        <v>100</v>
      </c>
      <c r="BL7" s="37" t="s">
        <v>300</v>
      </c>
      <c r="BM7" s="37" t="s">
        <v>415</v>
      </c>
      <c r="BN7" s="37" t="s">
        <v>67</v>
      </c>
      <c r="BO7" s="37" t="s">
        <v>67</v>
      </c>
      <c r="BP7" s="37" t="s">
        <v>67</v>
      </c>
      <c r="BQ7" s="37" t="s">
        <v>67</v>
      </c>
      <c r="BR7" s="68"/>
      <c r="BS7" s="37">
        <v>5</v>
      </c>
    </row>
    <row r="8" spans="1:71" ht="20.149999999999999" customHeight="1" x14ac:dyDescent="0.3">
      <c r="A8" s="55">
        <v>5</v>
      </c>
      <c r="B8" s="37" t="str">
        <f t="shared" si="0"/>
        <v>Oct_Release_FixedOrders_J9_COT_E2E_TOM_005</v>
      </c>
      <c r="C8" s="37" t="s">
        <v>67</v>
      </c>
      <c r="D8" s="37" t="s">
        <v>67</v>
      </c>
      <c r="E8" s="37" t="s">
        <v>67</v>
      </c>
      <c r="F8" s="37" t="s">
        <v>68</v>
      </c>
      <c r="G8" s="37" t="str">
        <f t="shared" ref="G8:G39" si="1">"A valid SSO SSJ Journey for "&amp;AI8</f>
        <v>A valid SSO SSJ Journey for COT Across NW</v>
      </c>
      <c r="H8" s="37" t="s">
        <v>69</v>
      </c>
      <c r="I8" s="37" t="s">
        <v>70</v>
      </c>
      <c r="J8" s="37" t="s">
        <v>71</v>
      </c>
      <c r="K8" s="37" t="s">
        <v>72</v>
      </c>
      <c r="L8" s="37" t="s">
        <v>63</v>
      </c>
      <c r="M8" s="37" t="s">
        <v>129</v>
      </c>
      <c r="N8" s="37" t="s">
        <v>130</v>
      </c>
      <c r="O8" s="37" t="s">
        <v>131</v>
      </c>
      <c r="P8" s="37" t="s">
        <v>132</v>
      </c>
      <c r="Q8" s="37" t="s">
        <v>133</v>
      </c>
      <c r="R8" s="37" t="s">
        <v>67</v>
      </c>
      <c r="S8" s="37" t="s">
        <v>83</v>
      </c>
      <c r="T8" s="37" t="s">
        <v>83</v>
      </c>
      <c r="U8" s="37" t="s">
        <v>83</v>
      </c>
      <c r="V8" s="37" t="s">
        <v>318</v>
      </c>
      <c r="W8" s="37" t="s">
        <v>91</v>
      </c>
      <c r="X8" s="37" t="s">
        <v>83</v>
      </c>
      <c r="Y8" s="37" t="s">
        <v>67</v>
      </c>
      <c r="Z8" s="37" t="s">
        <v>69</v>
      </c>
      <c r="AA8" s="37" t="s">
        <v>67</v>
      </c>
      <c r="AB8" s="37" t="s">
        <v>112</v>
      </c>
      <c r="AC8" s="37" t="s">
        <v>67</v>
      </c>
      <c r="AD8" s="37" t="s">
        <v>136</v>
      </c>
      <c r="AE8" s="37" t="s">
        <v>87</v>
      </c>
      <c r="AF8" s="37" t="s">
        <v>137</v>
      </c>
      <c r="AG8" s="37" t="s">
        <v>138</v>
      </c>
      <c r="AH8" s="37" t="s">
        <v>89</v>
      </c>
      <c r="AI8" s="37" t="s">
        <v>90</v>
      </c>
      <c r="AJ8" s="37" t="s">
        <v>91</v>
      </c>
      <c r="AK8" s="37" t="s">
        <v>81</v>
      </c>
      <c r="AL8" s="37" t="s">
        <v>67</v>
      </c>
      <c r="AM8" s="37" t="s">
        <v>92</v>
      </c>
      <c r="AN8" s="37" t="s">
        <v>93</v>
      </c>
      <c r="AO8" s="37" t="s">
        <v>139</v>
      </c>
      <c r="AP8" s="35" t="s">
        <v>140</v>
      </c>
      <c r="AQ8" s="35">
        <v>2200</v>
      </c>
      <c r="AR8" s="35">
        <v>2200</v>
      </c>
      <c r="AS8" s="38" t="s">
        <v>96</v>
      </c>
      <c r="AT8" s="38" t="s">
        <v>67</v>
      </c>
      <c r="AU8" s="37" t="s">
        <v>118</v>
      </c>
      <c r="AV8" s="37" t="s">
        <v>98</v>
      </c>
      <c r="AW8" s="37" t="s">
        <v>99</v>
      </c>
      <c r="AX8" s="37" t="s">
        <v>123</v>
      </c>
      <c r="AY8" s="37" t="s">
        <v>185</v>
      </c>
      <c r="AZ8" s="37" t="s">
        <v>67</v>
      </c>
      <c r="BA8" s="37" t="s">
        <v>127</v>
      </c>
      <c r="BB8" s="37" t="s">
        <v>70</v>
      </c>
      <c r="BC8" s="37" t="s">
        <v>143</v>
      </c>
      <c r="BD8" s="37" t="s">
        <v>144</v>
      </c>
      <c r="BE8" s="37" t="s">
        <v>83</v>
      </c>
      <c r="BF8" s="37" t="s">
        <v>67</v>
      </c>
      <c r="BG8" s="37" t="s">
        <v>83</v>
      </c>
      <c r="BH8" s="37" t="s">
        <v>67</v>
      </c>
      <c r="BI8" s="37" t="s">
        <v>83</v>
      </c>
      <c r="BJ8" s="37" t="s">
        <v>67</v>
      </c>
      <c r="BK8" s="37" t="s">
        <v>100</v>
      </c>
      <c r="BL8" s="37" t="s">
        <v>300</v>
      </c>
      <c r="BM8" s="37" t="s">
        <v>415</v>
      </c>
      <c r="BN8" s="37" t="s">
        <v>67</v>
      </c>
      <c r="BO8" s="37" t="s">
        <v>67</v>
      </c>
      <c r="BP8" s="37" t="s">
        <v>67</v>
      </c>
      <c r="BQ8" s="37" t="s">
        <v>67</v>
      </c>
      <c r="BR8" s="68"/>
      <c r="BS8" s="37">
        <v>5</v>
      </c>
    </row>
    <row r="9" spans="1:71" ht="20.149999999999999" customHeight="1" x14ac:dyDescent="0.3">
      <c r="A9" s="55">
        <v>6</v>
      </c>
      <c r="B9" s="37" t="str">
        <f t="shared" si="0"/>
        <v>Oct_Release_FixedOrders_J9_COT_E2E_TOM_006</v>
      </c>
      <c r="C9" s="37" t="s">
        <v>67</v>
      </c>
      <c r="D9" s="37" t="s">
        <v>67</v>
      </c>
      <c r="E9" s="37" t="s">
        <v>68</v>
      </c>
      <c r="F9" s="37" t="s">
        <v>67</v>
      </c>
      <c r="G9" s="37" t="str">
        <f t="shared" si="1"/>
        <v>A valid SSO SSJ Journey for COT Across NW</v>
      </c>
      <c r="H9" s="37" t="s">
        <v>69</v>
      </c>
      <c r="I9" s="37" t="s">
        <v>70</v>
      </c>
      <c r="J9" s="37" t="s">
        <v>71</v>
      </c>
      <c r="K9" s="37" t="s">
        <v>72</v>
      </c>
      <c r="L9" s="37" t="s">
        <v>82</v>
      </c>
      <c r="M9" s="37" t="s">
        <v>81</v>
      </c>
      <c r="N9" s="37" t="s">
        <v>109</v>
      </c>
      <c r="O9" s="37" t="s">
        <v>145</v>
      </c>
      <c r="P9" s="37" t="s">
        <v>146</v>
      </c>
      <c r="Q9" s="37" t="s">
        <v>123</v>
      </c>
      <c r="R9" s="37" t="s">
        <v>67</v>
      </c>
      <c r="S9" s="37" t="s">
        <v>83</v>
      </c>
      <c r="T9" s="37" t="s">
        <v>83</v>
      </c>
      <c r="U9" s="37" t="s">
        <v>83</v>
      </c>
      <c r="V9" s="37" t="s">
        <v>278</v>
      </c>
      <c r="W9" s="37" t="s">
        <v>82</v>
      </c>
      <c r="X9" s="37" t="s">
        <v>135</v>
      </c>
      <c r="Y9" s="37" t="s">
        <v>204</v>
      </c>
      <c r="Z9" s="37" t="s">
        <v>70</v>
      </c>
      <c r="AA9" s="37" t="s">
        <v>294</v>
      </c>
      <c r="AB9" s="37" t="s">
        <v>149</v>
      </c>
      <c r="AC9" s="37" t="s">
        <v>67</v>
      </c>
      <c r="AD9" s="37" t="s">
        <v>86</v>
      </c>
      <c r="AE9" s="37" t="s">
        <v>87</v>
      </c>
      <c r="AF9" s="37" t="s">
        <v>86</v>
      </c>
      <c r="AG9" s="37" t="s">
        <v>67</v>
      </c>
      <c r="AH9" s="37" t="s">
        <v>89</v>
      </c>
      <c r="AI9" s="37" t="s">
        <v>90</v>
      </c>
      <c r="AJ9" s="37" t="s">
        <v>91</v>
      </c>
      <c r="AK9" s="37" t="s">
        <v>148</v>
      </c>
      <c r="AL9" s="37" t="s">
        <v>67</v>
      </c>
      <c r="AM9" s="37" t="s">
        <v>92</v>
      </c>
      <c r="AN9" s="37" t="s">
        <v>67</v>
      </c>
      <c r="AO9" s="37" t="s">
        <v>67</v>
      </c>
      <c r="AP9" s="35" t="s">
        <v>67</v>
      </c>
      <c r="AQ9" s="35" t="s">
        <v>67</v>
      </c>
      <c r="AR9" s="35" t="s">
        <v>67</v>
      </c>
      <c r="AS9" s="38" t="s">
        <v>96</v>
      </c>
      <c r="AT9" s="38" t="s">
        <v>67</v>
      </c>
      <c r="AU9" s="37" t="s">
        <v>245</v>
      </c>
      <c r="AV9" s="37" t="s">
        <v>176</v>
      </c>
      <c r="AW9" s="37" t="s">
        <v>189</v>
      </c>
      <c r="AX9" s="37" t="s">
        <v>123</v>
      </c>
      <c r="AY9" s="37" t="s">
        <v>67</v>
      </c>
      <c r="AZ9" s="37" t="s">
        <v>67</v>
      </c>
      <c r="BA9" s="37" t="s">
        <v>152</v>
      </c>
      <c r="BB9" s="37" t="s">
        <v>70</v>
      </c>
      <c r="BC9" s="37" t="s">
        <v>143</v>
      </c>
      <c r="BD9" s="37" t="s">
        <v>144</v>
      </c>
      <c r="BE9" s="37" t="s">
        <v>381</v>
      </c>
      <c r="BF9" s="37" t="str">
        <f>BA9</f>
        <v>Outstock</v>
      </c>
      <c r="BG9" s="37" t="s">
        <v>83</v>
      </c>
      <c r="BH9" s="37" t="s">
        <v>67</v>
      </c>
      <c r="BI9" s="37" t="s">
        <v>83</v>
      </c>
      <c r="BJ9" s="37" t="s">
        <v>67</v>
      </c>
      <c r="BK9" s="37" t="s">
        <v>120</v>
      </c>
      <c r="BL9" s="37" t="s">
        <v>300</v>
      </c>
      <c r="BM9" s="37" t="s">
        <v>415</v>
      </c>
      <c r="BN9" s="37" t="s">
        <v>70</v>
      </c>
      <c r="BO9" s="37" t="s">
        <v>153</v>
      </c>
      <c r="BP9" s="37" t="s">
        <v>154</v>
      </c>
      <c r="BQ9" s="37" t="s">
        <v>155</v>
      </c>
      <c r="BR9" s="68"/>
      <c r="BS9" s="37">
        <v>5</v>
      </c>
    </row>
    <row r="10" spans="1:71" ht="20.149999999999999" customHeight="1" x14ac:dyDescent="0.3">
      <c r="A10" s="56">
        <v>7</v>
      </c>
      <c r="B10" s="42" t="str">
        <f t="shared" si="0"/>
        <v>Oct_Release_FixedOrders_J9_COT_E2E_TOM_007</v>
      </c>
      <c r="C10" s="42" t="s">
        <v>67</v>
      </c>
      <c r="D10" s="42" t="s">
        <v>67</v>
      </c>
      <c r="E10" s="42" t="s">
        <v>67</v>
      </c>
      <c r="F10" s="42" t="s">
        <v>68</v>
      </c>
      <c r="G10" s="42" t="str">
        <f t="shared" si="1"/>
        <v>A valid SSO SSJ Journey for COT Across NW - Service Transfer</v>
      </c>
      <c r="H10" s="42" t="s">
        <v>70</v>
      </c>
      <c r="I10" s="42" t="s">
        <v>69</v>
      </c>
      <c r="J10" s="42" t="s">
        <v>71</v>
      </c>
      <c r="K10" s="42" t="s">
        <v>72</v>
      </c>
      <c r="L10" s="42" t="s">
        <v>63</v>
      </c>
      <c r="M10" s="42" t="s">
        <v>156</v>
      </c>
      <c r="N10" s="42" t="s">
        <v>157</v>
      </c>
      <c r="O10" s="42" t="s">
        <v>158</v>
      </c>
      <c r="P10" s="42" t="s">
        <v>159</v>
      </c>
      <c r="Q10" s="42" t="s">
        <v>123</v>
      </c>
      <c r="R10" s="42" t="s">
        <v>67</v>
      </c>
      <c r="S10" s="42" t="s">
        <v>83</v>
      </c>
      <c r="T10" s="42" t="s">
        <v>83</v>
      </c>
      <c r="U10" s="42" t="s">
        <v>83</v>
      </c>
      <c r="V10" s="42" t="s">
        <v>318</v>
      </c>
      <c r="W10" s="42" t="s">
        <v>91</v>
      </c>
      <c r="X10" s="42" t="s">
        <v>83</v>
      </c>
      <c r="Y10" s="42" t="s">
        <v>69</v>
      </c>
      <c r="Z10" s="42" t="s">
        <v>69</v>
      </c>
      <c r="AA10" s="42" t="s">
        <v>67</v>
      </c>
      <c r="AB10" s="42" t="s">
        <v>160</v>
      </c>
      <c r="AC10" s="42" t="s">
        <v>67</v>
      </c>
      <c r="AD10" s="42" t="s">
        <v>161</v>
      </c>
      <c r="AE10" s="42" t="s">
        <v>124</v>
      </c>
      <c r="AF10" s="42" t="s">
        <v>115</v>
      </c>
      <c r="AG10" s="42" t="s">
        <v>162</v>
      </c>
      <c r="AH10" s="42" t="s">
        <v>117</v>
      </c>
      <c r="AI10" s="42" t="s">
        <v>340</v>
      </c>
      <c r="AJ10" s="42" t="s">
        <v>91</v>
      </c>
      <c r="AK10" s="42" t="s">
        <v>148</v>
      </c>
      <c r="AL10" s="42" t="s">
        <v>67</v>
      </c>
      <c r="AM10" s="42" t="s">
        <v>93</v>
      </c>
      <c r="AN10" s="42" t="s">
        <v>67</v>
      </c>
      <c r="AO10" s="42" t="s">
        <v>67</v>
      </c>
      <c r="AP10" s="36" t="s">
        <v>67</v>
      </c>
      <c r="AQ10" s="36" t="s">
        <v>67</v>
      </c>
      <c r="AR10" s="36" t="s">
        <v>67</v>
      </c>
      <c r="AS10" s="44" t="s">
        <v>96</v>
      </c>
      <c r="AT10" s="44" t="s">
        <v>67</v>
      </c>
      <c r="AU10" s="42" t="s">
        <v>118</v>
      </c>
      <c r="AV10" s="42" t="s">
        <v>288</v>
      </c>
      <c r="AW10" s="42" t="s">
        <v>92</v>
      </c>
      <c r="AX10" s="42" t="s">
        <v>123</v>
      </c>
      <c r="AY10" s="42" t="s">
        <v>67</v>
      </c>
      <c r="AZ10" s="42" t="s">
        <v>67</v>
      </c>
      <c r="BA10" s="42" t="s">
        <v>152</v>
      </c>
      <c r="BB10" s="42" t="s">
        <v>70</v>
      </c>
      <c r="BC10" s="42" t="s">
        <v>143</v>
      </c>
      <c r="BD10" s="42" t="s">
        <v>144</v>
      </c>
      <c r="BE10" s="42" t="s">
        <v>83</v>
      </c>
      <c r="BF10" s="37" t="s">
        <v>67</v>
      </c>
      <c r="BG10" s="42" t="s">
        <v>83</v>
      </c>
      <c r="BH10" s="37" t="s">
        <v>67</v>
      </c>
      <c r="BI10" s="42" t="s">
        <v>83</v>
      </c>
      <c r="BJ10" s="37" t="s">
        <v>67</v>
      </c>
      <c r="BK10" s="42" t="s">
        <v>120</v>
      </c>
      <c r="BL10" s="42" t="s">
        <v>300</v>
      </c>
      <c r="BM10" s="37" t="s">
        <v>415</v>
      </c>
      <c r="BN10" s="42" t="s">
        <v>67</v>
      </c>
      <c r="BO10" s="42" t="s">
        <v>153</v>
      </c>
      <c r="BP10" s="42" t="s">
        <v>154</v>
      </c>
      <c r="BQ10" s="42" t="s">
        <v>155</v>
      </c>
      <c r="BR10" s="68"/>
      <c r="BS10" s="42">
        <v>5</v>
      </c>
    </row>
    <row r="11" spans="1:71" ht="20.149999999999999" customHeight="1" x14ac:dyDescent="0.3">
      <c r="A11" s="57">
        <v>8</v>
      </c>
      <c r="B11" s="43" t="str">
        <f t="shared" si="0"/>
        <v>Oct_Release_FixedOrders_J9_COT_E2E_TOM_008</v>
      </c>
      <c r="C11" s="43" t="s">
        <v>67</v>
      </c>
      <c r="D11" s="43" t="s">
        <v>67</v>
      </c>
      <c r="E11" s="43" t="s">
        <v>68</v>
      </c>
      <c r="F11" s="43" t="s">
        <v>67</v>
      </c>
      <c r="G11" s="43" t="str">
        <f t="shared" si="1"/>
        <v>A valid SSO SSJ Journey for COT Across NW-Connect Outstanding  Transition</v>
      </c>
      <c r="H11" s="43" t="s">
        <v>70</v>
      </c>
      <c r="I11" s="43" t="s">
        <v>69</v>
      </c>
      <c r="J11" s="43" t="s">
        <v>71</v>
      </c>
      <c r="K11" s="43" t="s">
        <v>72</v>
      </c>
      <c r="L11" s="43" t="s">
        <v>82</v>
      </c>
      <c r="M11" s="43" t="s">
        <v>81</v>
      </c>
      <c r="N11" s="43" t="s">
        <v>109</v>
      </c>
      <c r="O11" s="43" t="s">
        <v>121</v>
      </c>
      <c r="P11" s="43" t="s">
        <v>122</v>
      </c>
      <c r="Q11" s="43" t="s">
        <v>123</v>
      </c>
      <c r="R11" s="43" t="s">
        <v>67</v>
      </c>
      <c r="S11" s="43" t="s">
        <v>367</v>
      </c>
      <c r="T11" s="43" t="s">
        <v>374</v>
      </c>
      <c r="U11" s="43" t="s">
        <v>389</v>
      </c>
      <c r="V11" s="43" t="s">
        <v>278</v>
      </c>
      <c r="W11" s="43" t="s">
        <v>82</v>
      </c>
      <c r="X11" s="43" t="s">
        <v>135</v>
      </c>
      <c r="Y11" s="43" t="s">
        <v>166</v>
      </c>
      <c r="Z11" s="43" t="s">
        <v>70</v>
      </c>
      <c r="AA11" s="43" t="s">
        <v>167</v>
      </c>
      <c r="AB11" s="43" t="s">
        <v>168</v>
      </c>
      <c r="AC11" s="43" t="s">
        <v>169</v>
      </c>
      <c r="AD11" s="43" t="s">
        <v>67</v>
      </c>
      <c r="AE11" s="43" t="s">
        <v>170</v>
      </c>
      <c r="AF11" s="43" t="s">
        <v>171</v>
      </c>
      <c r="AG11" s="43" t="s">
        <v>172</v>
      </c>
      <c r="AH11" s="43" t="s">
        <v>292</v>
      </c>
      <c r="AI11" s="43" t="s">
        <v>341</v>
      </c>
      <c r="AJ11" s="43" t="s">
        <v>91</v>
      </c>
      <c r="AK11" s="43" t="s">
        <v>165</v>
      </c>
      <c r="AL11" s="43" t="s">
        <v>69</v>
      </c>
      <c r="AM11" s="43" t="s">
        <v>173</v>
      </c>
      <c r="AN11" s="43" t="s">
        <v>67</v>
      </c>
      <c r="AO11" s="43" t="s">
        <v>67</v>
      </c>
      <c r="AP11" s="41" t="s">
        <v>67</v>
      </c>
      <c r="AQ11" s="41" t="s">
        <v>67</v>
      </c>
      <c r="AR11" s="41" t="s">
        <v>67</v>
      </c>
      <c r="AS11" s="45" t="s">
        <v>174</v>
      </c>
      <c r="AT11" s="45" t="s">
        <v>175</v>
      </c>
      <c r="AU11" s="43" t="s">
        <v>118</v>
      </c>
      <c r="AV11" s="43" t="s">
        <v>176</v>
      </c>
      <c r="AW11" s="43" t="s">
        <v>122</v>
      </c>
      <c r="AX11" s="43" t="s">
        <v>123</v>
      </c>
      <c r="AY11" s="43" t="s">
        <v>67</v>
      </c>
      <c r="AZ11" s="43" t="s">
        <v>67</v>
      </c>
      <c r="BA11" s="43" t="s">
        <v>152</v>
      </c>
      <c r="BB11" s="43" t="s">
        <v>70</v>
      </c>
      <c r="BC11" s="43" t="s">
        <v>125</v>
      </c>
      <c r="BD11" s="43" t="s">
        <v>126</v>
      </c>
      <c r="BE11" s="43" t="s">
        <v>382</v>
      </c>
      <c r="BF11" s="43" t="str">
        <f>BA11</f>
        <v>Outstock</v>
      </c>
      <c r="BG11" s="43" t="s">
        <v>432</v>
      </c>
      <c r="BH11" s="43" t="s">
        <v>67</v>
      </c>
      <c r="BI11" s="43" t="s">
        <v>432</v>
      </c>
      <c r="BJ11" s="43" t="s">
        <v>67</v>
      </c>
      <c r="BK11" s="43" t="s">
        <v>100</v>
      </c>
      <c r="BL11" s="43" t="s">
        <v>300</v>
      </c>
      <c r="BM11" s="43" t="s">
        <v>415</v>
      </c>
      <c r="BN11" s="43" t="s">
        <v>67</v>
      </c>
      <c r="BO11" s="43" t="s">
        <v>153</v>
      </c>
      <c r="BP11" s="43" t="s">
        <v>154</v>
      </c>
      <c r="BQ11" s="43" t="s">
        <v>155</v>
      </c>
      <c r="BR11" s="68"/>
      <c r="BS11" s="43">
        <v>5</v>
      </c>
    </row>
    <row r="12" spans="1:71" ht="20.149999999999999" customHeight="1" x14ac:dyDescent="0.3">
      <c r="A12" s="57">
        <v>9</v>
      </c>
      <c r="B12" s="43" t="str">
        <f t="shared" si="0"/>
        <v>Oct_Release_FixedOrders_J9_COT_E2E_TOM_009</v>
      </c>
      <c r="C12" s="43" t="s">
        <v>67</v>
      </c>
      <c r="D12" s="43" t="s">
        <v>67</v>
      </c>
      <c r="E12" s="43" t="s">
        <v>67</v>
      </c>
      <c r="F12" s="43" t="s">
        <v>68</v>
      </c>
      <c r="G12" s="43" t="str">
        <f t="shared" si="1"/>
        <v>A valid SSO SSJ Journey for COT Across NW- Internal Loss (Kogan to VF)</v>
      </c>
      <c r="H12" s="43" t="s">
        <v>69</v>
      </c>
      <c r="I12" s="43" t="s">
        <v>70</v>
      </c>
      <c r="J12" s="43" t="s">
        <v>71</v>
      </c>
      <c r="K12" s="43" t="s">
        <v>72</v>
      </c>
      <c r="L12" s="43" t="s">
        <v>63</v>
      </c>
      <c r="M12" s="43" t="s">
        <v>156</v>
      </c>
      <c r="N12" s="43" t="s">
        <v>157</v>
      </c>
      <c r="O12" s="43" t="s">
        <v>177</v>
      </c>
      <c r="P12" s="43" t="s">
        <v>178</v>
      </c>
      <c r="Q12" s="43" t="s">
        <v>123</v>
      </c>
      <c r="R12" s="43" t="s">
        <v>67</v>
      </c>
      <c r="S12" s="43" t="s">
        <v>83</v>
      </c>
      <c r="T12" s="43" t="s">
        <v>373</v>
      </c>
      <c r="U12" s="43" t="s">
        <v>83</v>
      </c>
      <c r="V12" s="43" t="s">
        <v>318</v>
      </c>
      <c r="W12" s="43" t="s">
        <v>91</v>
      </c>
      <c r="X12" s="43" t="s">
        <v>83</v>
      </c>
      <c r="Y12" s="43" t="s">
        <v>69</v>
      </c>
      <c r="Z12" s="43" t="s">
        <v>69</v>
      </c>
      <c r="AA12" s="43" t="s">
        <v>67</v>
      </c>
      <c r="AB12" s="43" t="s">
        <v>179</v>
      </c>
      <c r="AC12" s="43" t="s">
        <v>180</v>
      </c>
      <c r="AD12" s="43" t="s">
        <v>67</v>
      </c>
      <c r="AE12" s="43" t="s">
        <v>170</v>
      </c>
      <c r="AF12" s="43" t="s">
        <v>171</v>
      </c>
      <c r="AG12" s="43" t="s">
        <v>172</v>
      </c>
      <c r="AH12" s="43" t="s">
        <v>343</v>
      </c>
      <c r="AI12" s="43" t="s">
        <v>342</v>
      </c>
      <c r="AJ12" s="43" t="s">
        <v>91</v>
      </c>
      <c r="AK12" s="43" t="s">
        <v>165</v>
      </c>
      <c r="AL12" s="43" t="s">
        <v>69</v>
      </c>
      <c r="AM12" s="43" t="s">
        <v>181</v>
      </c>
      <c r="AN12" s="43" t="s">
        <v>67</v>
      </c>
      <c r="AO12" s="43" t="s">
        <v>67</v>
      </c>
      <c r="AP12" s="41" t="s">
        <v>67</v>
      </c>
      <c r="AQ12" s="41" t="s">
        <v>67</v>
      </c>
      <c r="AR12" s="41" t="s">
        <v>67</v>
      </c>
      <c r="AS12" s="45" t="s">
        <v>182</v>
      </c>
      <c r="AT12" s="45" t="s">
        <v>183</v>
      </c>
      <c r="AU12" s="43" t="s">
        <v>118</v>
      </c>
      <c r="AV12" s="43" t="s">
        <v>218</v>
      </c>
      <c r="AW12" s="43" t="s">
        <v>111</v>
      </c>
      <c r="AX12" s="43" t="s">
        <v>79</v>
      </c>
      <c r="AY12" s="43" t="s">
        <v>185</v>
      </c>
      <c r="AZ12" s="43" t="s">
        <v>67</v>
      </c>
      <c r="BA12" s="43" t="s">
        <v>67</v>
      </c>
      <c r="BB12" s="43" t="s">
        <v>67</v>
      </c>
      <c r="BC12" s="43" t="s">
        <v>67</v>
      </c>
      <c r="BD12" s="43" t="s">
        <v>186</v>
      </c>
      <c r="BE12" s="43" t="s">
        <v>83</v>
      </c>
      <c r="BF12" s="43" t="s">
        <v>67</v>
      </c>
      <c r="BG12" s="43" t="s">
        <v>432</v>
      </c>
      <c r="BH12" s="43" t="s">
        <v>67</v>
      </c>
      <c r="BI12" s="43" t="s">
        <v>83</v>
      </c>
      <c r="BJ12" s="43" t="s">
        <v>67</v>
      </c>
      <c r="BK12" s="43" t="s">
        <v>100</v>
      </c>
      <c r="BL12" s="43" t="s">
        <v>300</v>
      </c>
      <c r="BM12" s="43" t="s">
        <v>415</v>
      </c>
      <c r="BN12" s="43" t="s">
        <v>67</v>
      </c>
      <c r="BO12" s="43" t="s">
        <v>67</v>
      </c>
      <c r="BP12" s="43" t="s">
        <v>67</v>
      </c>
      <c r="BQ12" s="43" t="s">
        <v>67</v>
      </c>
      <c r="BR12" s="68"/>
      <c r="BS12" s="43">
        <v>5</v>
      </c>
    </row>
    <row r="13" spans="1:71" ht="20.149999999999999" customHeight="1" x14ac:dyDescent="0.3">
      <c r="A13" s="57">
        <v>10</v>
      </c>
      <c r="B13" s="43" t="str">
        <f t="shared" si="0"/>
        <v>Oct_Release_FixedOrders_J9_COT_E2E_TOM_0010</v>
      </c>
      <c r="C13" s="43" t="s">
        <v>67</v>
      </c>
      <c r="D13" s="43" t="s">
        <v>67</v>
      </c>
      <c r="E13" s="43" t="s">
        <v>68</v>
      </c>
      <c r="F13" s="43" t="s">
        <v>67</v>
      </c>
      <c r="G13" s="43" t="str">
        <f t="shared" si="1"/>
        <v>A valid SSO SSJ Journey for COT Across NW</v>
      </c>
      <c r="H13" s="43" t="s">
        <v>70</v>
      </c>
      <c r="I13" s="43" t="s">
        <v>69</v>
      </c>
      <c r="J13" s="43" t="s">
        <v>71</v>
      </c>
      <c r="K13" s="43" t="s">
        <v>72</v>
      </c>
      <c r="L13" s="43" t="s">
        <v>74</v>
      </c>
      <c r="M13" s="43" t="s">
        <v>324</v>
      </c>
      <c r="N13" s="43" t="s">
        <v>76</v>
      </c>
      <c r="O13" s="43" t="s">
        <v>326</v>
      </c>
      <c r="P13" s="43" t="s">
        <v>202</v>
      </c>
      <c r="Q13" s="43" t="s">
        <v>79</v>
      </c>
      <c r="R13" s="43" t="s">
        <v>67</v>
      </c>
      <c r="S13" s="43" t="s">
        <v>83</v>
      </c>
      <c r="T13" s="43" t="s">
        <v>83</v>
      </c>
      <c r="U13" s="43" t="s">
        <v>83</v>
      </c>
      <c r="V13" s="43" t="s">
        <v>260</v>
      </c>
      <c r="W13" s="43" t="s">
        <v>91</v>
      </c>
      <c r="X13" s="43" t="s">
        <v>83</v>
      </c>
      <c r="Y13" s="43" t="s">
        <v>84</v>
      </c>
      <c r="Z13" s="43" t="s">
        <v>70</v>
      </c>
      <c r="AA13" s="43" t="s">
        <v>294</v>
      </c>
      <c r="AB13" s="43" t="s">
        <v>191</v>
      </c>
      <c r="AC13" s="43" t="s">
        <v>86</v>
      </c>
      <c r="AD13" s="43" t="s">
        <v>86</v>
      </c>
      <c r="AE13" s="43" t="s">
        <v>87</v>
      </c>
      <c r="AF13" s="43" t="s">
        <v>192</v>
      </c>
      <c r="AG13" s="43" t="s">
        <v>67</v>
      </c>
      <c r="AH13" s="43" t="s">
        <v>89</v>
      </c>
      <c r="AI13" s="43" t="s">
        <v>90</v>
      </c>
      <c r="AJ13" s="43" t="s">
        <v>91</v>
      </c>
      <c r="AK13" s="43" t="s">
        <v>190</v>
      </c>
      <c r="AL13" s="43" t="s">
        <v>69</v>
      </c>
      <c r="AM13" s="43" t="s">
        <v>193</v>
      </c>
      <c r="AN13" s="43" t="s">
        <v>67</v>
      </c>
      <c r="AO13" s="43" t="s">
        <v>67</v>
      </c>
      <c r="AP13" s="41" t="s">
        <v>67</v>
      </c>
      <c r="AQ13" s="41" t="s">
        <v>67</v>
      </c>
      <c r="AR13" s="41" t="s">
        <v>67</v>
      </c>
      <c r="AS13" s="45" t="s">
        <v>174</v>
      </c>
      <c r="AT13" s="45" t="s">
        <v>194</v>
      </c>
      <c r="AU13" s="43" t="s">
        <v>118</v>
      </c>
      <c r="AV13" s="43" t="s">
        <v>176</v>
      </c>
      <c r="AW13" s="43" t="s">
        <v>122</v>
      </c>
      <c r="AX13" s="43" t="s">
        <v>79</v>
      </c>
      <c r="AY13" s="43" t="s">
        <v>67</v>
      </c>
      <c r="AZ13" s="43" t="s">
        <v>67</v>
      </c>
      <c r="BA13" s="43" t="s">
        <v>67</v>
      </c>
      <c r="BB13" s="43" t="s">
        <v>67</v>
      </c>
      <c r="BC13" s="43" t="s">
        <v>67</v>
      </c>
      <c r="BD13" s="43" t="s">
        <v>67</v>
      </c>
      <c r="BE13" s="43" t="s">
        <v>381</v>
      </c>
      <c r="BF13" s="43" t="s">
        <v>127</v>
      </c>
      <c r="BG13" s="43" t="s">
        <v>83</v>
      </c>
      <c r="BH13" s="43" t="s">
        <v>67</v>
      </c>
      <c r="BI13" s="43" t="s">
        <v>83</v>
      </c>
      <c r="BJ13" s="43" t="s">
        <v>67</v>
      </c>
      <c r="BK13" s="43" t="s">
        <v>120</v>
      </c>
      <c r="BL13" s="43" t="s">
        <v>300</v>
      </c>
      <c r="BM13" s="43" t="s">
        <v>415</v>
      </c>
      <c r="BN13" s="43" t="s">
        <v>67</v>
      </c>
      <c r="BO13" s="43" t="s">
        <v>153</v>
      </c>
      <c r="BP13" s="43" t="s">
        <v>196</v>
      </c>
      <c r="BQ13" s="43" t="s">
        <v>155</v>
      </c>
      <c r="BR13" s="68"/>
      <c r="BS13" s="43">
        <v>5</v>
      </c>
    </row>
    <row r="14" spans="1:71" ht="20.149999999999999" customHeight="1" x14ac:dyDescent="0.3">
      <c r="A14" s="57">
        <v>11</v>
      </c>
      <c r="B14" s="43" t="str">
        <f t="shared" si="0"/>
        <v>Oct_Release_FixedOrders_J9_COT_E2E_TOM_0011</v>
      </c>
      <c r="C14" s="43" t="s">
        <v>67</v>
      </c>
      <c r="D14" s="43" t="s">
        <v>67</v>
      </c>
      <c r="E14" s="43" t="s">
        <v>68</v>
      </c>
      <c r="F14" s="43" t="s">
        <v>67</v>
      </c>
      <c r="G14" s="43" t="str">
        <f t="shared" si="1"/>
        <v>A valid SSO SSJ Journey for COT Across NW- Service Transition</v>
      </c>
      <c r="H14" s="43" t="s">
        <v>69</v>
      </c>
      <c r="I14" s="43" t="s">
        <v>70</v>
      </c>
      <c r="J14" s="43" t="s">
        <v>71</v>
      </c>
      <c r="K14" s="43" t="s">
        <v>72</v>
      </c>
      <c r="L14" s="43" t="s">
        <v>82</v>
      </c>
      <c r="M14" s="43" t="s">
        <v>81</v>
      </c>
      <c r="N14" s="43" t="s">
        <v>109</v>
      </c>
      <c r="O14" s="43" t="s">
        <v>121</v>
      </c>
      <c r="P14" s="43" t="s">
        <v>122</v>
      </c>
      <c r="Q14" s="43" t="s">
        <v>79</v>
      </c>
      <c r="R14" s="43" t="s">
        <v>67</v>
      </c>
      <c r="S14" s="43" t="s">
        <v>83</v>
      </c>
      <c r="T14" s="43" t="s">
        <v>83</v>
      </c>
      <c r="U14" s="43" t="s">
        <v>83</v>
      </c>
      <c r="V14" s="43" t="s">
        <v>278</v>
      </c>
      <c r="W14" s="43" t="s">
        <v>82</v>
      </c>
      <c r="X14" s="43" t="s">
        <v>135</v>
      </c>
      <c r="Y14" s="43" t="s">
        <v>69</v>
      </c>
      <c r="Z14" s="43" t="s">
        <v>69</v>
      </c>
      <c r="AA14" s="43" t="s">
        <v>67</v>
      </c>
      <c r="AB14" s="43" t="s">
        <v>199</v>
      </c>
      <c r="AC14" s="43" t="s">
        <v>169</v>
      </c>
      <c r="AD14" s="43" t="s">
        <v>67</v>
      </c>
      <c r="AE14" s="43" t="s">
        <v>170</v>
      </c>
      <c r="AF14" s="43" t="s">
        <v>169</v>
      </c>
      <c r="AG14" s="43" t="s">
        <v>172</v>
      </c>
      <c r="AH14" s="43" t="s">
        <v>200</v>
      </c>
      <c r="AI14" s="43" t="s">
        <v>344</v>
      </c>
      <c r="AJ14" s="43" t="s">
        <v>91</v>
      </c>
      <c r="AK14" s="43" t="s">
        <v>190</v>
      </c>
      <c r="AL14" s="43" t="s">
        <v>69</v>
      </c>
      <c r="AM14" s="43" t="s">
        <v>193</v>
      </c>
      <c r="AN14" s="43" t="s">
        <v>67</v>
      </c>
      <c r="AO14" s="43" t="s">
        <v>67</v>
      </c>
      <c r="AP14" s="41" t="s">
        <v>67</v>
      </c>
      <c r="AQ14" s="41" t="s">
        <v>67</v>
      </c>
      <c r="AR14" s="41" t="s">
        <v>67</v>
      </c>
      <c r="AS14" s="45" t="s">
        <v>174</v>
      </c>
      <c r="AT14" s="45" t="s">
        <v>194</v>
      </c>
      <c r="AU14" s="43" t="s">
        <v>118</v>
      </c>
      <c r="AV14" s="43" t="s">
        <v>207</v>
      </c>
      <c r="AW14" s="43" t="s">
        <v>202</v>
      </c>
      <c r="AX14" s="43" t="s">
        <v>123</v>
      </c>
      <c r="AY14" s="43" t="s">
        <v>203</v>
      </c>
      <c r="AZ14" s="43" t="s">
        <v>67</v>
      </c>
      <c r="BA14" s="43" t="s">
        <v>127</v>
      </c>
      <c r="BB14" s="43" t="s">
        <v>70</v>
      </c>
      <c r="BC14" s="43" t="s">
        <v>143</v>
      </c>
      <c r="BD14" s="43" t="s">
        <v>195</v>
      </c>
      <c r="BE14" s="43" t="s">
        <v>381</v>
      </c>
      <c r="BF14" s="43" t="str">
        <f>BA14</f>
        <v>Instock</v>
      </c>
      <c r="BG14" s="43" t="s">
        <v>83</v>
      </c>
      <c r="BH14" s="43" t="s">
        <v>67</v>
      </c>
      <c r="BI14" s="43" t="s">
        <v>83</v>
      </c>
      <c r="BJ14" s="43" t="s">
        <v>67</v>
      </c>
      <c r="BK14" s="43" t="s">
        <v>120</v>
      </c>
      <c r="BL14" s="43" t="s">
        <v>300</v>
      </c>
      <c r="BM14" s="43" t="s">
        <v>415</v>
      </c>
      <c r="BN14" s="43" t="s">
        <v>70</v>
      </c>
      <c r="BO14" s="43" t="s">
        <v>153</v>
      </c>
      <c r="BP14" s="43" t="s">
        <v>196</v>
      </c>
      <c r="BQ14" s="43" t="s">
        <v>155</v>
      </c>
      <c r="BR14" s="68"/>
      <c r="BS14" s="43">
        <v>5</v>
      </c>
    </row>
    <row r="15" spans="1:71" ht="20.149999999999999" customHeight="1" x14ac:dyDescent="0.3">
      <c r="A15" s="57">
        <v>12</v>
      </c>
      <c r="B15" s="43" t="str">
        <f t="shared" si="0"/>
        <v>Oct_Release_FixedOrders_J9_COT_E2E_TOM_0012</v>
      </c>
      <c r="C15" s="43" t="s">
        <v>67</v>
      </c>
      <c r="D15" s="43" t="s">
        <v>67</v>
      </c>
      <c r="E15" s="43" t="s">
        <v>67</v>
      </c>
      <c r="F15" s="43" t="s">
        <v>68</v>
      </c>
      <c r="G15" s="43" t="str">
        <f t="shared" si="1"/>
        <v>A valid SSO SSJ Journey for COT Across NW- Connect outstanding</v>
      </c>
      <c r="H15" s="43" t="s">
        <v>69</v>
      </c>
      <c r="I15" s="43" t="s">
        <v>70</v>
      </c>
      <c r="J15" s="43" t="s">
        <v>71</v>
      </c>
      <c r="K15" s="43" t="s">
        <v>72</v>
      </c>
      <c r="L15" s="43" t="s">
        <v>63</v>
      </c>
      <c r="M15" s="43" t="s">
        <v>129</v>
      </c>
      <c r="N15" s="43" t="s">
        <v>130</v>
      </c>
      <c r="O15" s="43" t="s">
        <v>131</v>
      </c>
      <c r="P15" s="43" t="s">
        <v>132</v>
      </c>
      <c r="Q15" s="43" t="s">
        <v>133</v>
      </c>
      <c r="R15" s="43" t="s">
        <v>67</v>
      </c>
      <c r="S15" s="43" t="s">
        <v>83</v>
      </c>
      <c r="T15" s="43" t="s">
        <v>83</v>
      </c>
      <c r="U15" s="43" t="s">
        <v>83</v>
      </c>
      <c r="V15" s="43" t="s">
        <v>315</v>
      </c>
      <c r="W15" s="43" t="s">
        <v>91</v>
      </c>
      <c r="X15" s="43" t="s">
        <v>83</v>
      </c>
      <c r="Y15" s="43" t="s">
        <v>204</v>
      </c>
      <c r="Z15" s="43" t="s">
        <v>70</v>
      </c>
      <c r="AA15" s="43" t="s">
        <v>334</v>
      </c>
      <c r="AB15" s="43" t="s">
        <v>350</v>
      </c>
      <c r="AC15" s="43" t="s">
        <v>346</v>
      </c>
      <c r="AD15" s="43" t="s">
        <v>351</v>
      </c>
      <c r="AE15" s="43" t="s">
        <v>124</v>
      </c>
      <c r="AF15" s="43" t="s">
        <v>216</v>
      </c>
      <c r="AG15" s="43" t="s">
        <v>352</v>
      </c>
      <c r="AH15" s="43" t="s">
        <v>292</v>
      </c>
      <c r="AI15" s="43" t="s">
        <v>353</v>
      </c>
      <c r="AJ15" s="43" t="s">
        <v>91</v>
      </c>
      <c r="AK15" s="43" t="s">
        <v>190</v>
      </c>
      <c r="AL15" s="43" t="s">
        <v>69</v>
      </c>
      <c r="AM15" s="43" t="s">
        <v>181</v>
      </c>
      <c r="AN15" s="43" t="s">
        <v>67</v>
      </c>
      <c r="AO15" s="43" t="s">
        <v>67</v>
      </c>
      <c r="AP15" s="43" t="s">
        <v>67</v>
      </c>
      <c r="AQ15" s="43" t="s">
        <v>67</v>
      </c>
      <c r="AR15" s="43" t="s">
        <v>67</v>
      </c>
      <c r="AS15" s="45" t="s">
        <v>182</v>
      </c>
      <c r="AT15" s="45" t="s">
        <v>183</v>
      </c>
      <c r="AU15" s="43" t="s">
        <v>97</v>
      </c>
      <c r="AV15" s="43" t="s">
        <v>207</v>
      </c>
      <c r="AW15" s="43" t="s">
        <v>202</v>
      </c>
      <c r="AX15" s="43" t="s">
        <v>79</v>
      </c>
      <c r="AY15" s="43" t="s">
        <v>67</v>
      </c>
      <c r="AZ15" s="43" t="s">
        <v>67</v>
      </c>
      <c r="BA15" s="43" t="s">
        <v>67</v>
      </c>
      <c r="BB15" s="43" t="s">
        <v>67</v>
      </c>
      <c r="BC15" s="43" t="s">
        <v>67</v>
      </c>
      <c r="BD15" s="43" t="s">
        <v>186</v>
      </c>
      <c r="BE15" s="43" t="s">
        <v>83</v>
      </c>
      <c r="BF15" s="43" t="s">
        <v>67</v>
      </c>
      <c r="BG15" s="43" t="s">
        <v>83</v>
      </c>
      <c r="BH15" s="43" t="s">
        <v>67</v>
      </c>
      <c r="BI15" s="43" t="s">
        <v>83</v>
      </c>
      <c r="BJ15" s="43" t="s">
        <v>67</v>
      </c>
      <c r="BK15" s="43" t="s">
        <v>120</v>
      </c>
      <c r="BL15" s="43" t="s">
        <v>300</v>
      </c>
      <c r="BM15" s="43" t="s">
        <v>415</v>
      </c>
      <c r="BN15" s="43" t="s">
        <v>67</v>
      </c>
      <c r="BO15" s="43" t="s">
        <v>67</v>
      </c>
      <c r="BP15" s="43" t="s">
        <v>67</v>
      </c>
      <c r="BQ15" s="43" t="s">
        <v>67</v>
      </c>
      <c r="BR15" s="68"/>
      <c r="BS15" s="43">
        <v>5</v>
      </c>
    </row>
    <row r="16" spans="1:71" ht="20.149999999999999" customHeight="1" x14ac:dyDescent="0.3">
      <c r="A16" s="57">
        <v>13</v>
      </c>
      <c r="B16" s="43" t="str">
        <f t="shared" si="0"/>
        <v>Oct_Release_FixedOrders_J9_COT_E2E_TOM_0013</v>
      </c>
      <c r="C16" s="43" t="s">
        <v>67</v>
      </c>
      <c r="D16" s="43" t="s">
        <v>67</v>
      </c>
      <c r="E16" s="43" t="s">
        <v>68</v>
      </c>
      <c r="F16" s="43" t="s">
        <v>67</v>
      </c>
      <c r="G16" s="43" t="str">
        <f t="shared" si="1"/>
        <v>A valid SSO SSJ Journey for COT Across NW - Service Transfer</v>
      </c>
      <c r="H16" s="43" t="s">
        <v>70</v>
      </c>
      <c r="I16" s="43" t="s">
        <v>69</v>
      </c>
      <c r="J16" s="43" t="s">
        <v>71</v>
      </c>
      <c r="K16" s="43" t="s">
        <v>72</v>
      </c>
      <c r="L16" s="43" t="s">
        <v>74</v>
      </c>
      <c r="M16" s="43" t="s">
        <v>208</v>
      </c>
      <c r="N16" s="43" t="s">
        <v>76</v>
      </c>
      <c r="O16" s="43" t="s">
        <v>77</v>
      </c>
      <c r="P16" s="43" t="s">
        <v>78</v>
      </c>
      <c r="Q16" s="43" t="s">
        <v>133</v>
      </c>
      <c r="R16" s="43" t="s">
        <v>67</v>
      </c>
      <c r="S16" s="43" t="s">
        <v>83</v>
      </c>
      <c r="T16" s="43" t="s">
        <v>83</v>
      </c>
      <c r="U16" s="43" t="s">
        <v>83</v>
      </c>
      <c r="V16" s="43" t="s">
        <v>240</v>
      </c>
      <c r="W16" s="43" t="s">
        <v>91</v>
      </c>
      <c r="X16" s="43" t="s">
        <v>83</v>
      </c>
      <c r="Y16" s="43" t="s">
        <v>209</v>
      </c>
      <c r="Z16" s="43" t="s">
        <v>70</v>
      </c>
      <c r="AA16" s="43" t="s">
        <v>67</v>
      </c>
      <c r="AB16" s="43" t="s">
        <v>345</v>
      </c>
      <c r="AC16" s="43" t="s">
        <v>346</v>
      </c>
      <c r="AD16" s="43" t="s">
        <v>347</v>
      </c>
      <c r="AE16" s="43" t="s">
        <v>124</v>
      </c>
      <c r="AF16" s="43" t="s">
        <v>216</v>
      </c>
      <c r="AG16" s="43" t="s">
        <v>348</v>
      </c>
      <c r="AH16" s="43" t="s">
        <v>349</v>
      </c>
      <c r="AI16" s="43" t="s">
        <v>340</v>
      </c>
      <c r="AJ16" s="43" t="s">
        <v>91</v>
      </c>
      <c r="AK16" s="43" t="s">
        <v>210</v>
      </c>
      <c r="AL16" s="43" t="s">
        <v>69</v>
      </c>
      <c r="AM16" s="43" t="s">
        <v>211</v>
      </c>
      <c r="AN16" s="43" t="s">
        <v>67</v>
      </c>
      <c r="AO16" s="43" t="s">
        <v>67</v>
      </c>
      <c r="AP16" s="43" t="s">
        <v>67</v>
      </c>
      <c r="AQ16" s="43" t="s">
        <v>67</v>
      </c>
      <c r="AR16" s="43" t="s">
        <v>67</v>
      </c>
      <c r="AS16" s="45" t="s">
        <v>182</v>
      </c>
      <c r="AT16" s="45" t="s">
        <v>183</v>
      </c>
      <c r="AU16" s="43" t="s">
        <v>118</v>
      </c>
      <c r="AV16" s="43" t="s">
        <v>207</v>
      </c>
      <c r="AW16" s="43" t="s">
        <v>202</v>
      </c>
      <c r="AX16" s="43" t="s">
        <v>123</v>
      </c>
      <c r="AY16" s="43" t="s">
        <v>67</v>
      </c>
      <c r="AZ16" s="43" t="s">
        <v>67</v>
      </c>
      <c r="BA16" s="43" t="s">
        <v>152</v>
      </c>
      <c r="BB16" s="43" t="s">
        <v>70</v>
      </c>
      <c r="BC16" s="43" t="s">
        <v>143</v>
      </c>
      <c r="BD16" s="43" t="s">
        <v>144</v>
      </c>
      <c r="BE16" s="43" t="s">
        <v>83</v>
      </c>
      <c r="BF16" s="43" t="s">
        <v>67</v>
      </c>
      <c r="BG16" s="43" t="s">
        <v>83</v>
      </c>
      <c r="BH16" s="43" t="s">
        <v>67</v>
      </c>
      <c r="BI16" s="43" t="s">
        <v>83</v>
      </c>
      <c r="BJ16" s="43" t="s">
        <v>67</v>
      </c>
      <c r="BK16" s="43" t="s">
        <v>100</v>
      </c>
      <c r="BL16" s="43" t="s">
        <v>300</v>
      </c>
      <c r="BM16" s="43" t="s">
        <v>415</v>
      </c>
      <c r="BN16" s="43" t="s">
        <v>67</v>
      </c>
      <c r="BO16" s="43" t="s">
        <v>153</v>
      </c>
      <c r="BP16" s="43" t="s">
        <v>196</v>
      </c>
      <c r="BQ16" s="43" t="s">
        <v>155</v>
      </c>
      <c r="BR16" s="68"/>
      <c r="BS16" s="43">
        <v>5</v>
      </c>
    </row>
    <row r="17" spans="1:71" ht="20.149999999999999" customHeight="1" x14ac:dyDescent="0.3">
      <c r="A17" s="57">
        <v>14</v>
      </c>
      <c r="B17" s="43" t="str">
        <f t="shared" si="0"/>
        <v>Oct_Release_FixedOrders_J9_COT_E2E_TOM_0014</v>
      </c>
      <c r="C17" s="43" t="s">
        <v>67</v>
      </c>
      <c r="D17" s="43" t="s">
        <v>67</v>
      </c>
      <c r="E17" s="43" t="s">
        <v>68</v>
      </c>
      <c r="F17" s="43" t="s">
        <v>67</v>
      </c>
      <c r="G17" s="43" t="str">
        <f t="shared" si="1"/>
        <v>A valid SSO SSJ Journey for COT Across NW- Internal Loss (TPG to VF)</v>
      </c>
      <c r="H17" s="43" t="s">
        <v>69</v>
      </c>
      <c r="I17" s="43" t="s">
        <v>70</v>
      </c>
      <c r="J17" s="43" t="s">
        <v>71</v>
      </c>
      <c r="K17" s="43" t="s">
        <v>72</v>
      </c>
      <c r="L17" s="43" t="s">
        <v>74</v>
      </c>
      <c r="M17" s="43" t="s">
        <v>75</v>
      </c>
      <c r="N17" s="43" t="s">
        <v>76</v>
      </c>
      <c r="O17" s="43" t="s">
        <v>77</v>
      </c>
      <c r="P17" s="43" t="s">
        <v>78</v>
      </c>
      <c r="Q17" s="43" t="s">
        <v>133</v>
      </c>
      <c r="R17" s="43" t="s">
        <v>67</v>
      </c>
      <c r="S17" s="43" t="s">
        <v>83</v>
      </c>
      <c r="T17" s="43" t="s">
        <v>83</v>
      </c>
      <c r="U17" s="43" t="s">
        <v>83</v>
      </c>
      <c r="V17" s="43" t="s">
        <v>240</v>
      </c>
      <c r="W17" s="43" t="s">
        <v>91</v>
      </c>
      <c r="X17" s="43" t="s">
        <v>83</v>
      </c>
      <c r="Y17" s="43" t="s">
        <v>69</v>
      </c>
      <c r="Z17" s="43" t="s">
        <v>69</v>
      </c>
      <c r="AA17" s="43" t="s">
        <v>67</v>
      </c>
      <c r="AB17" s="43" t="s">
        <v>214</v>
      </c>
      <c r="AC17" s="43" t="s">
        <v>206</v>
      </c>
      <c r="AD17" s="43" t="s">
        <v>215</v>
      </c>
      <c r="AE17" s="43" t="s">
        <v>124</v>
      </c>
      <c r="AF17" s="43" t="s">
        <v>216</v>
      </c>
      <c r="AG17" s="43" t="s">
        <v>217</v>
      </c>
      <c r="AH17" s="43" t="s">
        <v>89</v>
      </c>
      <c r="AI17" s="43" t="s">
        <v>354</v>
      </c>
      <c r="AJ17" s="43" t="s">
        <v>91</v>
      </c>
      <c r="AK17" s="43" t="s">
        <v>210</v>
      </c>
      <c r="AL17" s="43" t="s">
        <v>69</v>
      </c>
      <c r="AM17" s="43" t="s">
        <v>173</v>
      </c>
      <c r="AN17" s="43" t="s">
        <v>67</v>
      </c>
      <c r="AO17" s="43" t="s">
        <v>67</v>
      </c>
      <c r="AP17" s="43" t="s">
        <v>67</v>
      </c>
      <c r="AQ17" s="43" t="s">
        <v>67</v>
      </c>
      <c r="AR17" s="43" t="s">
        <v>67</v>
      </c>
      <c r="AS17" s="45" t="s">
        <v>174</v>
      </c>
      <c r="AT17" s="45" t="s">
        <v>175</v>
      </c>
      <c r="AU17" s="43" t="s">
        <v>118</v>
      </c>
      <c r="AV17" s="43" t="s">
        <v>218</v>
      </c>
      <c r="AW17" s="43" t="s">
        <v>111</v>
      </c>
      <c r="AX17" s="43" t="s">
        <v>79</v>
      </c>
      <c r="AY17" s="43" t="s">
        <v>67</v>
      </c>
      <c r="AZ17" s="43" t="s">
        <v>67</v>
      </c>
      <c r="BA17" s="43" t="s">
        <v>67</v>
      </c>
      <c r="BB17" s="43" t="s">
        <v>67</v>
      </c>
      <c r="BC17" s="43" t="s">
        <v>67</v>
      </c>
      <c r="BD17" s="43" t="s">
        <v>186</v>
      </c>
      <c r="BE17" s="43" t="s">
        <v>83</v>
      </c>
      <c r="BF17" s="43" t="s">
        <v>67</v>
      </c>
      <c r="BG17" s="43" t="s">
        <v>83</v>
      </c>
      <c r="BH17" s="43" t="s">
        <v>67</v>
      </c>
      <c r="BI17" s="43" t="s">
        <v>83</v>
      </c>
      <c r="BJ17" s="43" t="s">
        <v>67</v>
      </c>
      <c r="BK17" s="43" t="s">
        <v>120</v>
      </c>
      <c r="BL17" s="43" t="s">
        <v>300</v>
      </c>
      <c r="BM17" s="43" t="s">
        <v>415</v>
      </c>
      <c r="BN17" s="43" t="s">
        <v>67</v>
      </c>
      <c r="BO17" s="43" t="s">
        <v>67</v>
      </c>
      <c r="BP17" s="43" t="s">
        <v>67</v>
      </c>
      <c r="BQ17" s="43" t="s">
        <v>67</v>
      </c>
      <c r="BR17" s="68"/>
      <c r="BS17" s="43">
        <v>5</v>
      </c>
    </row>
    <row r="18" spans="1:71" ht="20.149999999999999" customHeight="1" x14ac:dyDescent="0.3">
      <c r="A18" s="55">
        <v>15</v>
      </c>
      <c r="B18" s="37" t="str">
        <f t="shared" si="0"/>
        <v>Oct_Release_FixedOrders_J9_COT_E2E_TOM_0015</v>
      </c>
      <c r="C18" s="37" t="s">
        <v>67</v>
      </c>
      <c r="D18" s="37" t="s">
        <v>67</v>
      </c>
      <c r="E18" s="37" t="s">
        <v>68</v>
      </c>
      <c r="F18" s="37" t="s">
        <v>67</v>
      </c>
      <c r="G18" s="37" t="str">
        <f t="shared" si="1"/>
        <v>A valid SSO SSJ Journey for COT Across NW</v>
      </c>
      <c r="H18" s="37" t="s">
        <v>69</v>
      </c>
      <c r="I18" s="37" t="s">
        <v>70</v>
      </c>
      <c r="J18" s="37" t="s">
        <v>71</v>
      </c>
      <c r="K18" s="37" t="s">
        <v>72</v>
      </c>
      <c r="L18" s="37" t="s">
        <v>91</v>
      </c>
      <c r="M18" s="37" t="s">
        <v>148</v>
      </c>
      <c r="N18" s="37" t="s">
        <v>118</v>
      </c>
      <c r="O18" s="37" t="s">
        <v>314</v>
      </c>
      <c r="P18" s="37" t="s">
        <v>92</v>
      </c>
      <c r="Q18" s="37" t="s">
        <v>79</v>
      </c>
      <c r="R18" s="37" t="s">
        <v>67</v>
      </c>
      <c r="S18" s="37" t="s">
        <v>83</v>
      </c>
      <c r="T18" s="37" t="s">
        <v>83</v>
      </c>
      <c r="U18" s="37" t="s">
        <v>83</v>
      </c>
      <c r="V18" s="37" t="s">
        <v>220</v>
      </c>
      <c r="W18" s="37" t="s">
        <v>91</v>
      </c>
      <c r="X18" s="37" t="s">
        <v>83</v>
      </c>
      <c r="Y18" s="37" t="s">
        <v>67</v>
      </c>
      <c r="Z18" s="37" t="s">
        <v>67</v>
      </c>
      <c r="AA18" s="37" t="s">
        <v>67</v>
      </c>
      <c r="AB18" s="37" t="s">
        <v>67</v>
      </c>
      <c r="AC18" s="37" t="s">
        <v>67</v>
      </c>
      <c r="AD18" s="37" t="s">
        <v>67</v>
      </c>
      <c r="AE18" s="37" t="s">
        <v>87</v>
      </c>
      <c r="AF18" s="37" t="s">
        <v>67</v>
      </c>
      <c r="AG18" s="37" t="s">
        <v>67</v>
      </c>
      <c r="AH18" s="37" t="s">
        <v>67</v>
      </c>
      <c r="AI18" s="37" t="s">
        <v>90</v>
      </c>
      <c r="AJ18" s="37" t="s">
        <v>63</v>
      </c>
      <c r="AK18" s="37" t="s">
        <v>129</v>
      </c>
      <c r="AL18" s="37" t="s">
        <v>67</v>
      </c>
      <c r="AM18" s="37" t="s">
        <v>67</v>
      </c>
      <c r="AN18" s="37" t="s">
        <v>67</v>
      </c>
      <c r="AO18" s="37" t="s">
        <v>67</v>
      </c>
      <c r="AP18" s="37" t="s">
        <v>67</v>
      </c>
      <c r="AQ18" s="37" t="s">
        <v>67</v>
      </c>
      <c r="AR18" s="37" t="s">
        <v>67</v>
      </c>
      <c r="AS18" s="38" t="s">
        <v>221</v>
      </c>
      <c r="AT18" s="38" t="s">
        <v>67</v>
      </c>
      <c r="AU18" s="37" t="s">
        <v>130</v>
      </c>
      <c r="AV18" s="37" t="s">
        <v>131</v>
      </c>
      <c r="AW18" s="37" t="s">
        <v>132</v>
      </c>
      <c r="AX18" s="37" t="s">
        <v>133</v>
      </c>
      <c r="AY18" s="37" t="s">
        <v>67</v>
      </c>
      <c r="AZ18" s="37" t="s">
        <v>313</v>
      </c>
      <c r="BA18" s="37" t="s">
        <v>127</v>
      </c>
      <c r="BB18" s="37" t="s">
        <v>67</v>
      </c>
      <c r="BC18" s="37" t="s">
        <v>143</v>
      </c>
      <c r="BD18" s="37" t="s">
        <v>195</v>
      </c>
      <c r="BE18" s="37" t="s">
        <v>83</v>
      </c>
      <c r="BF18" s="37" t="s">
        <v>67</v>
      </c>
      <c r="BG18" s="37" t="s">
        <v>385</v>
      </c>
      <c r="BH18" s="37" t="s">
        <v>387</v>
      </c>
      <c r="BI18" s="37" t="s">
        <v>391</v>
      </c>
      <c r="BJ18" s="37" t="s">
        <v>387</v>
      </c>
      <c r="BK18" s="37" t="s">
        <v>120</v>
      </c>
      <c r="BL18" s="37" t="s">
        <v>300</v>
      </c>
      <c r="BM18" s="37" t="s">
        <v>414</v>
      </c>
      <c r="BN18" s="37" t="s">
        <v>67</v>
      </c>
      <c r="BO18" s="37" t="s">
        <v>153</v>
      </c>
      <c r="BP18" s="37" t="s">
        <v>196</v>
      </c>
      <c r="BQ18" s="37" t="s">
        <v>155</v>
      </c>
      <c r="BR18" s="68"/>
      <c r="BS18" s="37">
        <v>5</v>
      </c>
    </row>
    <row r="19" spans="1:71" ht="20.149999999999999" customHeight="1" x14ac:dyDescent="0.3">
      <c r="A19" s="55">
        <v>16</v>
      </c>
      <c r="B19" s="37" t="str">
        <f t="shared" si="0"/>
        <v>Oct_Release_FixedOrders_J9_COT_E2E_TOM_0016</v>
      </c>
      <c r="C19" s="37" t="s">
        <v>67</v>
      </c>
      <c r="D19" s="37" t="s">
        <v>67</v>
      </c>
      <c r="E19" s="37" t="s">
        <v>68</v>
      </c>
      <c r="F19" s="37" t="s">
        <v>67</v>
      </c>
      <c r="G19" s="37" t="str">
        <f t="shared" si="1"/>
        <v>A valid SSO SSJ Journey for COT Across NW</v>
      </c>
      <c r="H19" s="37" t="s">
        <v>69</v>
      </c>
      <c r="I19" s="37" t="s">
        <v>70</v>
      </c>
      <c r="J19" s="37" t="s">
        <v>71</v>
      </c>
      <c r="K19" s="37" t="s">
        <v>72</v>
      </c>
      <c r="L19" s="37" t="s">
        <v>91</v>
      </c>
      <c r="M19" s="37" t="s">
        <v>190</v>
      </c>
      <c r="N19" s="37" t="s">
        <v>307</v>
      </c>
      <c r="O19" s="37" t="s">
        <v>308</v>
      </c>
      <c r="P19" s="37" t="s">
        <v>202</v>
      </c>
      <c r="Q19" s="37" t="s">
        <v>622</v>
      </c>
      <c r="R19" s="37" t="s">
        <v>67</v>
      </c>
      <c r="S19" s="37" t="s">
        <v>367</v>
      </c>
      <c r="T19" s="37" t="s">
        <v>372</v>
      </c>
      <c r="U19" s="37" t="s">
        <v>83</v>
      </c>
      <c r="V19" s="37" t="s">
        <v>358</v>
      </c>
      <c r="W19" s="37" t="s">
        <v>91</v>
      </c>
      <c r="X19" s="37" t="s">
        <v>357</v>
      </c>
      <c r="Y19" s="37" t="s">
        <v>67</v>
      </c>
      <c r="Z19" s="37" t="s">
        <v>67</v>
      </c>
      <c r="AA19" s="37" t="s">
        <v>67</v>
      </c>
      <c r="AB19" s="37" t="s">
        <v>67</v>
      </c>
      <c r="AC19" s="37" t="s">
        <v>67</v>
      </c>
      <c r="AD19" s="37" t="s">
        <v>67</v>
      </c>
      <c r="AE19" s="37" t="s">
        <v>87</v>
      </c>
      <c r="AF19" s="37" t="s">
        <v>67</v>
      </c>
      <c r="AG19" s="37" t="s">
        <v>67</v>
      </c>
      <c r="AH19" s="37" t="s">
        <v>67</v>
      </c>
      <c r="AI19" s="37" t="s">
        <v>90</v>
      </c>
      <c r="AJ19" s="37" t="s">
        <v>63</v>
      </c>
      <c r="AK19" s="37" t="s">
        <v>156</v>
      </c>
      <c r="AL19" s="37" t="s">
        <v>67</v>
      </c>
      <c r="AM19" s="37" t="s">
        <v>67</v>
      </c>
      <c r="AN19" s="37" t="s">
        <v>67</v>
      </c>
      <c r="AO19" s="37" t="s">
        <v>67</v>
      </c>
      <c r="AP19" s="37" t="s">
        <v>67</v>
      </c>
      <c r="AQ19" s="37" t="s">
        <v>67</v>
      </c>
      <c r="AR19" s="37" t="s">
        <v>67</v>
      </c>
      <c r="AS19" s="37" t="s">
        <v>221</v>
      </c>
      <c r="AT19" s="37" t="s">
        <v>67</v>
      </c>
      <c r="AU19" s="37" t="s">
        <v>157</v>
      </c>
      <c r="AV19" s="37" t="s">
        <v>226</v>
      </c>
      <c r="AW19" s="37" t="s">
        <v>227</v>
      </c>
      <c r="AX19" s="37" t="s">
        <v>123</v>
      </c>
      <c r="AY19" s="37" t="s">
        <v>67</v>
      </c>
      <c r="AZ19" s="37" t="s">
        <v>313</v>
      </c>
      <c r="BA19" s="37" t="s">
        <v>127</v>
      </c>
      <c r="BB19" s="37" t="s">
        <v>67</v>
      </c>
      <c r="BC19" s="37" t="s">
        <v>143</v>
      </c>
      <c r="BD19" s="37" t="s">
        <v>144</v>
      </c>
      <c r="BE19" s="37" t="s">
        <v>392</v>
      </c>
      <c r="BF19" s="37" t="s">
        <v>67</v>
      </c>
      <c r="BG19" s="37" t="s">
        <v>432</v>
      </c>
      <c r="BH19" s="37" t="s">
        <v>67</v>
      </c>
      <c r="BI19" s="37" t="s">
        <v>83</v>
      </c>
      <c r="BJ19" s="37" t="s">
        <v>67</v>
      </c>
      <c r="BK19" s="37" t="s">
        <v>100</v>
      </c>
      <c r="BL19" s="37" t="s">
        <v>300</v>
      </c>
      <c r="BM19" s="37" t="s">
        <v>414</v>
      </c>
      <c r="BN19" s="37" t="s">
        <v>67</v>
      </c>
      <c r="BO19" s="37" t="s">
        <v>67</v>
      </c>
      <c r="BP19" s="37" t="s">
        <v>67</v>
      </c>
      <c r="BQ19" s="37" t="s">
        <v>67</v>
      </c>
      <c r="BR19" s="68"/>
      <c r="BS19" s="37">
        <v>5</v>
      </c>
    </row>
    <row r="20" spans="1:71" ht="20.149999999999999" customHeight="1" x14ac:dyDescent="0.3">
      <c r="A20" s="55">
        <v>17</v>
      </c>
      <c r="B20" s="37" t="str">
        <f t="shared" si="0"/>
        <v>Oct_Release_FixedOrders_J9_COT_E2E_TOM_0017</v>
      </c>
      <c r="C20" s="37" t="s">
        <v>67</v>
      </c>
      <c r="D20" s="37" t="s">
        <v>67</v>
      </c>
      <c r="E20" s="37" t="s">
        <v>68</v>
      </c>
      <c r="F20" s="37" t="s">
        <v>67</v>
      </c>
      <c r="G20" s="37" t="str">
        <f t="shared" si="1"/>
        <v>A valid SSO SSJ Journey for COT Across NW</v>
      </c>
      <c r="H20" s="37" t="s">
        <v>70</v>
      </c>
      <c r="I20" s="37" t="s">
        <v>69</v>
      </c>
      <c r="J20" s="37" t="s">
        <v>71</v>
      </c>
      <c r="K20" s="37" t="s">
        <v>72</v>
      </c>
      <c r="L20" s="37" t="s">
        <v>74</v>
      </c>
      <c r="M20" s="37" t="s">
        <v>325</v>
      </c>
      <c r="N20" s="37" t="s">
        <v>76</v>
      </c>
      <c r="O20" s="37" t="s">
        <v>77</v>
      </c>
      <c r="P20" s="37" t="s">
        <v>78</v>
      </c>
      <c r="Q20" s="37" t="s">
        <v>133</v>
      </c>
      <c r="R20" s="37" t="s">
        <v>67</v>
      </c>
      <c r="S20" s="37" t="s">
        <v>83</v>
      </c>
      <c r="T20" s="37" t="s">
        <v>83</v>
      </c>
      <c r="U20" s="37" t="s">
        <v>83</v>
      </c>
      <c r="V20" s="37" t="s">
        <v>358</v>
      </c>
      <c r="W20" s="37" t="s">
        <v>91</v>
      </c>
      <c r="X20" s="37" t="s">
        <v>83</v>
      </c>
      <c r="Y20" s="37" t="s">
        <v>67</v>
      </c>
      <c r="Z20" s="37" t="s">
        <v>67</v>
      </c>
      <c r="AA20" s="37" t="s">
        <v>67</v>
      </c>
      <c r="AB20" s="37" t="s">
        <v>67</v>
      </c>
      <c r="AC20" s="37" t="s">
        <v>67</v>
      </c>
      <c r="AD20" s="37" t="s">
        <v>67</v>
      </c>
      <c r="AE20" s="37" t="s">
        <v>87</v>
      </c>
      <c r="AF20" s="37" t="s">
        <v>67</v>
      </c>
      <c r="AG20" s="37" t="s">
        <v>67</v>
      </c>
      <c r="AH20" s="37" t="s">
        <v>67</v>
      </c>
      <c r="AI20" s="37" t="s">
        <v>90</v>
      </c>
      <c r="AJ20" s="37" t="s">
        <v>63</v>
      </c>
      <c r="AK20" s="37" t="s">
        <v>129</v>
      </c>
      <c r="AL20" s="37" t="s">
        <v>67</v>
      </c>
      <c r="AM20" s="37" t="s">
        <v>67</v>
      </c>
      <c r="AN20" s="37" t="s">
        <v>67</v>
      </c>
      <c r="AO20" s="37" t="s">
        <v>67</v>
      </c>
      <c r="AP20" s="37" t="s">
        <v>67</v>
      </c>
      <c r="AQ20" s="37" t="s">
        <v>67</v>
      </c>
      <c r="AR20" s="37" t="s">
        <v>67</v>
      </c>
      <c r="AS20" s="37" t="s">
        <v>359</v>
      </c>
      <c r="AT20" s="37" t="s">
        <v>67</v>
      </c>
      <c r="AU20" s="37" t="s">
        <v>130</v>
      </c>
      <c r="AV20" s="37" t="s">
        <v>131</v>
      </c>
      <c r="AW20" s="37" t="s">
        <v>132</v>
      </c>
      <c r="AX20" s="37" t="s">
        <v>133</v>
      </c>
      <c r="AY20" s="37" t="s">
        <v>67</v>
      </c>
      <c r="AZ20" s="37" t="s">
        <v>313</v>
      </c>
      <c r="BA20" s="37" t="s">
        <v>152</v>
      </c>
      <c r="BB20" s="37" t="s">
        <v>67</v>
      </c>
      <c r="BC20" s="37" t="s">
        <v>143</v>
      </c>
      <c r="BD20" s="37" t="s">
        <v>144</v>
      </c>
      <c r="BE20" s="37" t="s">
        <v>83</v>
      </c>
      <c r="BF20" s="37" t="s">
        <v>67</v>
      </c>
      <c r="BG20" s="37" t="s">
        <v>83</v>
      </c>
      <c r="BH20" s="37" t="s">
        <v>67</v>
      </c>
      <c r="BI20" s="37" t="s">
        <v>83</v>
      </c>
      <c r="BJ20" s="37" t="s">
        <v>67</v>
      </c>
      <c r="BK20" s="37" t="s">
        <v>100</v>
      </c>
      <c r="BL20" s="37" t="s">
        <v>300</v>
      </c>
      <c r="BM20" s="37" t="s">
        <v>414</v>
      </c>
      <c r="BN20" s="37" t="s">
        <v>67</v>
      </c>
      <c r="BO20" s="37" t="s">
        <v>153</v>
      </c>
      <c r="BP20" s="37" t="s">
        <v>196</v>
      </c>
      <c r="BQ20" s="37" t="s">
        <v>155</v>
      </c>
      <c r="BR20" s="68"/>
      <c r="BS20" s="37">
        <v>5</v>
      </c>
    </row>
    <row r="21" spans="1:71" ht="20.149999999999999" customHeight="1" x14ac:dyDescent="0.3">
      <c r="A21" s="55">
        <v>18</v>
      </c>
      <c r="B21" s="37" t="str">
        <f t="shared" si="0"/>
        <v>Oct_Release_FixedOrders_J9_COT_E2E_TOM_0018</v>
      </c>
      <c r="C21" s="37" t="s">
        <v>67</v>
      </c>
      <c r="D21" s="37" t="s">
        <v>67</v>
      </c>
      <c r="E21" s="37" t="s">
        <v>68</v>
      </c>
      <c r="F21" s="37" t="s">
        <v>67</v>
      </c>
      <c r="G21" s="37" t="str">
        <f t="shared" si="1"/>
        <v>A valid SSO SSJ Journey for COT Across NW</v>
      </c>
      <c r="H21" s="37" t="s">
        <v>69</v>
      </c>
      <c r="I21" s="37" t="s">
        <v>70</v>
      </c>
      <c r="J21" s="37" t="s">
        <v>71</v>
      </c>
      <c r="K21" s="37" t="s">
        <v>72</v>
      </c>
      <c r="L21" s="37" t="s">
        <v>74</v>
      </c>
      <c r="M21" s="37" t="s">
        <v>323</v>
      </c>
      <c r="N21" s="37" t="s">
        <v>76</v>
      </c>
      <c r="O21" s="37" t="s">
        <v>326</v>
      </c>
      <c r="P21" s="37" t="s">
        <v>202</v>
      </c>
      <c r="Q21" s="37" t="s">
        <v>79</v>
      </c>
      <c r="R21" s="37" t="s">
        <v>67</v>
      </c>
      <c r="S21" s="37" t="s">
        <v>83</v>
      </c>
      <c r="T21" s="37" t="s">
        <v>83</v>
      </c>
      <c r="U21" s="37" t="s">
        <v>83</v>
      </c>
      <c r="V21" s="37" t="s">
        <v>329</v>
      </c>
      <c r="W21" s="37" t="s">
        <v>91</v>
      </c>
      <c r="X21" s="37" t="s">
        <v>83</v>
      </c>
      <c r="Y21" s="37" t="s">
        <v>67</v>
      </c>
      <c r="Z21" s="37" t="s">
        <v>67</v>
      </c>
      <c r="AA21" s="37" t="s">
        <v>67</v>
      </c>
      <c r="AB21" s="37" t="s">
        <v>67</v>
      </c>
      <c r="AC21" s="37" t="s">
        <v>67</v>
      </c>
      <c r="AD21" s="37" t="s">
        <v>67</v>
      </c>
      <c r="AE21" s="37" t="s">
        <v>87</v>
      </c>
      <c r="AF21" s="37" t="s">
        <v>67</v>
      </c>
      <c r="AG21" s="37" t="s">
        <v>67</v>
      </c>
      <c r="AH21" s="37" t="s">
        <v>67</v>
      </c>
      <c r="AI21" s="37" t="s">
        <v>90</v>
      </c>
      <c r="AJ21" s="37" t="s">
        <v>63</v>
      </c>
      <c r="AK21" s="37" t="s">
        <v>156</v>
      </c>
      <c r="AL21" s="37" t="s">
        <v>67</v>
      </c>
      <c r="AM21" s="37" t="s">
        <v>67</v>
      </c>
      <c r="AN21" s="37" t="s">
        <v>67</v>
      </c>
      <c r="AO21" s="37" t="s">
        <v>67</v>
      </c>
      <c r="AP21" s="37" t="s">
        <v>67</v>
      </c>
      <c r="AQ21" s="37" t="s">
        <v>67</v>
      </c>
      <c r="AR21" s="37" t="s">
        <v>67</v>
      </c>
      <c r="AS21" s="37" t="s">
        <v>221</v>
      </c>
      <c r="AT21" s="37" t="s">
        <v>67</v>
      </c>
      <c r="AU21" s="37" t="s">
        <v>157</v>
      </c>
      <c r="AV21" s="37" t="s">
        <v>158</v>
      </c>
      <c r="AW21" s="37" t="s">
        <v>159</v>
      </c>
      <c r="AX21" s="37" t="s">
        <v>123</v>
      </c>
      <c r="AY21" s="37" t="s">
        <v>67</v>
      </c>
      <c r="AZ21" s="37" t="s">
        <v>313</v>
      </c>
      <c r="BA21" s="37" t="s">
        <v>127</v>
      </c>
      <c r="BB21" s="37" t="s">
        <v>67</v>
      </c>
      <c r="BC21" s="37" t="s">
        <v>143</v>
      </c>
      <c r="BD21" s="37" t="s">
        <v>195</v>
      </c>
      <c r="BE21" s="37" t="s">
        <v>83</v>
      </c>
      <c r="BF21" s="37" t="s">
        <v>67</v>
      </c>
      <c r="BG21" s="37" t="s">
        <v>83</v>
      </c>
      <c r="BH21" s="37" t="s">
        <v>67</v>
      </c>
      <c r="BI21" s="37" t="s">
        <v>83</v>
      </c>
      <c r="BJ21" s="37" t="s">
        <v>67</v>
      </c>
      <c r="BK21" s="37" t="s">
        <v>100</v>
      </c>
      <c r="BL21" s="37" t="s">
        <v>300</v>
      </c>
      <c r="BM21" s="37" t="s">
        <v>414</v>
      </c>
      <c r="BN21" s="37" t="s">
        <v>67</v>
      </c>
      <c r="BO21" s="37" t="s">
        <v>67</v>
      </c>
      <c r="BP21" s="37" t="s">
        <v>67</v>
      </c>
      <c r="BQ21" s="37" t="s">
        <v>67</v>
      </c>
      <c r="BR21" s="68"/>
      <c r="BS21" s="37">
        <v>5</v>
      </c>
    </row>
    <row r="22" spans="1:71" ht="20.149999999999999" customHeight="1" x14ac:dyDescent="0.3">
      <c r="A22" s="55">
        <v>19</v>
      </c>
      <c r="B22" s="37" t="str">
        <f t="shared" si="0"/>
        <v>Oct_Release_FixedOrders_J9_COT_E2E_TOM_0019</v>
      </c>
      <c r="C22" s="37" t="s">
        <v>67</v>
      </c>
      <c r="D22" s="37" t="s">
        <v>67</v>
      </c>
      <c r="E22" s="37" t="s">
        <v>68</v>
      </c>
      <c r="F22" s="37" t="s">
        <v>67</v>
      </c>
      <c r="G22" s="37" t="str">
        <f t="shared" si="1"/>
        <v>A valid SSO SSJ Journey for COT Across NW</v>
      </c>
      <c r="H22" s="37" t="s">
        <v>70</v>
      </c>
      <c r="I22" s="37" t="s">
        <v>69</v>
      </c>
      <c r="J22" s="37" t="s">
        <v>71</v>
      </c>
      <c r="K22" s="37" t="s">
        <v>72</v>
      </c>
      <c r="L22" s="37" t="s">
        <v>82</v>
      </c>
      <c r="M22" s="37" t="s">
        <v>81</v>
      </c>
      <c r="N22" s="37" t="s">
        <v>109</v>
      </c>
      <c r="O22" s="37" t="s">
        <v>231</v>
      </c>
      <c r="P22" s="37" t="s">
        <v>92</v>
      </c>
      <c r="Q22" s="37" t="s">
        <v>123</v>
      </c>
      <c r="R22" s="37" t="s">
        <v>67</v>
      </c>
      <c r="S22" s="37" t="s">
        <v>369</v>
      </c>
      <c r="T22" s="37" t="s">
        <v>83</v>
      </c>
      <c r="U22" s="37" t="s">
        <v>388</v>
      </c>
      <c r="V22" s="37" t="s">
        <v>330</v>
      </c>
      <c r="W22" s="37" t="s">
        <v>82</v>
      </c>
      <c r="X22" s="37" t="s">
        <v>83</v>
      </c>
      <c r="Y22" s="37" t="s">
        <v>67</v>
      </c>
      <c r="Z22" s="37" t="s">
        <v>67</v>
      </c>
      <c r="AA22" s="37" t="s">
        <v>67</v>
      </c>
      <c r="AB22" s="37" t="s">
        <v>67</v>
      </c>
      <c r="AC22" s="37" t="s">
        <v>67</v>
      </c>
      <c r="AD22" s="37" t="s">
        <v>67</v>
      </c>
      <c r="AE22" s="37" t="s">
        <v>87</v>
      </c>
      <c r="AF22" s="37" t="s">
        <v>67</v>
      </c>
      <c r="AG22" s="37" t="s">
        <v>67</v>
      </c>
      <c r="AH22" s="37" t="s">
        <v>67</v>
      </c>
      <c r="AI22" s="37" t="s">
        <v>90</v>
      </c>
      <c r="AJ22" s="37" t="s">
        <v>63</v>
      </c>
      <c r="AK22" s="37" t="s">
        <v>129</v>
      </c>
      <c r="AL22" s="37" t="s">
        <v>67</v>
      </c>
      <c r="AM22" s="37" t="s">
        <v>67</v>
      </c>
      <c r="AN22" s="37" t="s">
        <v>67</v>
      </c>
      <c r="AO22" s="37" t="s">
        <v>67</v>
      </c>
      <c r="AP22" s="37" t="s">
        <v>67</v>
      </c>
      <c r="AQ22" s="37" t="s">
        <v>67</v>
      </c>
      <c r="AR22" s="37" t="s">
        <v>67</v>
      </c>
      <c r="AS22" s="37" t="s">
        <v>230</v>
      </c>
      <c r="AT22" s="37" t="s">
        <v>67</v>
      </c>
      <c r="AU22" s="37" t="s">
        <v>130</v>
      </c>
      <c r="AV22" s="37" t="s">
        <v>131</v>
      </c>
      <c r="AW22" s="37" t="s">
        <v>132</v>
      </c>
      <c r="AX22" s="37" t="s">
        <v>133</v>
      </c>
      <c r="AY22" s="37" t="s">
        <v>67</v>
      </c>
      <c r="AZ22" s="37" t="s">
        <v>313</v>
      </c>
      <c r="BA22" s="37" t="s">
        <v>127</v>
      </c>
      <c r="BB22" s="37" t="s">
        <v>67</v>
      </c>
      <c r="BC22" s="37" t="s">
        <v>143</v>
      </c>
      <c r="BD22" s="37" t="s">
        <v>144</v>
      </c>
      <c r="BE22" s="37" t="s">
        <v>394</v>
      </c>
      <c r="BF22" s="37" t="s">
        <v>67</v>
      </c>
      <c r="BG22" s="37" t="s">
        <v>83</v>
      </c>
      <c r="BH22" s="37" t="s">
        <v>67</v>
      </c>
      <c r="BI22" s="37" t="s">
        <v>432</v>
      </c>
      <c r="BJ22" s="37" t="s">
        <v>67</v>
      </c>
      <c r="BK22" s="37" t="s">
        <v>100</v>
      </c>
      <c r="BL22" s="37" t="s">
        <v>300</v>
      </c>
      <c r="BM22" s="37" t="s">
        <v>414</v>
      </c>
      <c r="BN22" s="37" t="s">
        <v>67</v>
      </c>
      <c r="BO22" s="37" t="s">
        <v>67</v>
      </c>
      <c r="BP22" s="37" t="s">
        <v>67</v>
      </c>
      <c r="BQ22" s="37" t="s">
        <v>67</v>
      </c>
      <c r="BR22" s="68"/>
      <c r="BS22" s="37">
        <v>5</v>
      </c>
    </row>
    <row r="23" spans="1:71" ht="20.149999999999999" customHeight="1" x14ac:dyDescent="0.3">
      <c r="A23" s="55">
        <v>20</v>
      </c>
      <c r="B23" s="37" t="str">
        <f t="shared" si="0"/>
        <v>Oct_Release_FixedOrders_J9_COT_E2E_TOM_0020</v>
      </c>
      <c r="C23" s="37" t="s">
        <v>67</v>
      </c>
      <c r="D23" s="37" t="s">
        <v>67</v>
      </c>
      <c r="E23" s="37" t="s">
        <v>68</v>
      </c>
      <c r="F23" s="37" t="s">
        <v>67</v>
      </c>
      <c r="G23" s="37" t="str">
        <f t="shared" si="1"/>
        <v>A valid SSO SSJ Journey for COT Across NW</v>
      </c>
      <c r="H23" s="37" t="s">
        <v>69</v>
      </c>
      <c r="I23" s="37" t="s">
        <v>70</v>
      </c>
      <c r="J23" s="37" t="s">
        <v>71</v>
      </c>
      <c r="K23" s="37" t="s">
        <v>72</v>
      </c>
      <c r="L23" s="37" t="s">
        <v>82</v>
      </c>
      <c r="M23" s="37" t="s">
        <v>81</v>
      </c>
      <c r="N23" s="37" t="s">
        <v>109</v>
      </c>
      <c r="O23" s="37" t="s">
        <v>121</v>
      </c>
      <c r="P23" s="37" t="s">
        <v>122</v>
      </c>
      <c r="Q23" s="37" t="s">
        <v>79</v>
      </c>
      <c r="R23" s="37" t="s">
        <v>67</v>
      </c>
      <c r="S23" s="37" t="s">
        <v>83</v>
      </c>
      <c r="T23" s="37" t="s">
        <v>83</v>
      </c>
      <c r="U23" s="37" t="s">
        <v>83</v>
      </c>
      <c r="V23" s="37" t="s">
        <v>331</v>
      </c>
      <c r="W23" s="37" t="s">
        <v>82</v>
      </c>
      <c r="X23" s="37" t="s">
        <v>83</v>
      </c>
      <c r="Y23" s="37" t="s">
        <v>67</v>
      </c>
      <c r="Z23" s="37" t="s">
        <v>67</v>
      </c>
      <c r="AA23" s="37" t="s">
        <v>67</v>
      </c>
      <c r="AB23" s="37" t="s">
        <v>67</v>
      </c>
      <c r="AC23" s="37" t="s">
        <v>67</v>
      </c>
      <c r="AD23" s="37" t="s">
        <v>67</v>
      </c>
      <c r="AE23" s="37" t="s">
        <v>87</v>
      </c>
      <c r="AF23" s="37" t="s">
        <v>67</v>
      </c>
      <c r="AG23" s="37" t="s">
        <v>67</v>
      </c>
      <c r="AH23" s="37" t="s">
        <v>67</v>
      </c>
      <c r="AI23" s="37" t="s">
        <v>90</v>
      </c>
      <c r="AJ23" s="37" t="s">
        <v>63</v>
      </c>
      <c r="AK23" s="37" t="s">
        <v>156</v>
      </c>
      <c r="AL23" s="37" t="s">
        <v>67</v>
      </c>
      <c r="AM23" s="37" t="s">
        <v>67</v>
      </c>
      <c r="AN23" s="37" t="s">
        <v>67</v>
      </c>
      <c r="AO23" s="37" t="s">
        <v>67</v>
      </c>
      <c r="AP23" s="37" t="s">
        <v>67</v>
      </c>
      <c r="AQ23" s="37" t="s">
        <v>67</v>
      </c>
      <c r="AR23" s="37" t="s">
        <v>67</v>
      </c>
      <c r="AS23" s="37" t="s">
        <v>225</v>
      </c>
      <c r="AT23" s="37" t="s">
        <v>67</v>
      </c>
      <c r="AU23" s="37" t="s">
        <v>157</v>
      </c>
      <c r="AV23" s="37" t="s">
        <v>177</v>
      </c>
      <c r="AW23" s="37" t="s">
        <v>178</v>
      </c>
      <c r="AX23" s="37" t="s">
        <v>123</v>
      </c>
      <c r="AY23" s="37" t="s">
        <v>67</v>
      </c>
      <c r="AZ23" s="37" t="s">
        <v>313</v>
      </c>
      <c r="BA23" s="37" t="s">
        <v>152</v>
      </c>
      <c r="BB23" s="37" t="s">
        <v>67</v>
      </c>
      <c r="BC23" s="37" t="s">
        <v>143</v>
      </c>
      <c r="BD23" s="37" t="s">
        <v>195</v>
      </c>
      <c r="BE23" s="37" t="s">
        <v>83</v>
      </c>
      <c r="BF23" s="37" t="s">
        <v>67</v>
      </c>
      <c r="BG23" s="37" t="s">
        <v>83</v>
      </c>
      <c r="BH23" s="37" t="s">
        <v>67</v>
      </c>
      <c r="BI23" s="37" t="s">
        <v>83</v>
      </c>
      <c r="BJ23" s="37" t="s">
        <v>67</v>
      </c>
      <c r="BK23" s="37" t="s">
        <v>100</v>
      </c>
      <c r="BL23" s="37" t="s">
        <v>300</v>
      </c>
      <c r="BM23" s="37" t="s">
        <v>414</v>
      </c>
      <c r="BN23" s="37" t="s">
        <v>67</v>
      </c>
      <c r="BO23" s="37" t="s">
        <v>153</v>
      </c>
      <c r="BP23" s="37" t="s">
        <v>196</v>
      </c>
      <c r="BQ23" s="37" t="s">
        <v>155</v>
      </c>
      <c r="BR23" s="68"/>
      <c r="BS23" s="37">
        <v>5</v>
      </c>
    </row>
    <row r="24" spans="1:71" ht="20.149999999999999" customHeight="1" x14ac:dyDescent="0.3">
      <c r="A24" s="55">
        <v>21</v>
      </c>
      <c r="B24" s="37" t="str">
        <f t="shared" si="0"/>
        <v>Oct_Release_FixedOrders_J9_COT_E2E_TOM_0021</v>
      </c>
      <c r="C24" s="37" t="s">
        <v>67</v>
      </c>
      <c r="D24" s="37" t="s">
        <v>67</v>
      </c>
      <c r="E24" s="37" t="s">
        <v>67</v>
      </c>
      <c r="F24" s="37" t="s">
        <v>68</v>
      </c>
      <c r="G24" s="37" t="str">
        <f t="shared" si="1"/>
        <v>A valid SSO SSJ Journey for COT Across NW</v>
      </c>
      <c r="H24" s="37" t="s">
        <v>69</v>
      </c>
      <c r="I24" s="37" t="s">
        <v>70</v>
      </c>
      <c r="J24" s="37" t="s">
        <v>71</v>
      </c>
      <c r="K24" s="37" t="s">
        <v>72</v>
      </c>
      <c r="L24" s="37" t="s">
        <v>63</v>
      </c>
      <c r="M24" s="37" t="s">
        <v>129</v>
      </c>
      <c r="N24" s="37" t="s">
        <v>130</v>
      </c>
      <c r="O24" s="37" t="s">
        <v>131</v>
      </c>
      <c r="P24" s="37" t="s">
        <v>132</v>
      </c>
      <c r="Q24" s="37" t="s">
        <v>133</v>
      </c>
      <c r="R24" s="37" t="s">
        <v>67</v>
      </c>
      <c r="S24" s="37" t="s">
        <v>83</v>
      </c>
      <c r="T24" s="37" t="s">
        <v>83</v>
      </c>
      <c r="U24" s="37" t="s">
        <v>83</v>
      </c>
      <c r="V24" s="37" t="s">
        <v>311</v>
      </c>
      <c r="W24" s="37" t="s">
        <v>91</v>
      </c>
      <c r="X24" s="37" t="s">
        <v>357</v>
      </c>
      <c r="Y24" s="37" t="s">
        <v>67</v>
      </c>
      <c r="Z24" s="37" t="s">
        <v>67</v>
      </c>
      <c r="AA24" s="37" t="s">
        <v>67</v>
      </c>
      <c r="AB24" s="37" t="s">
        <v>67</v>
      </c>
      <c r="AC24" s="37" t="s">
        <v>67</v>
      </c>
      <c r="AD24" s="37" t="s">
        <v>67</v>
      </c>
      <c r="AE24" s="37" t="s">
        <v>87</v>
      </c>
      <c r="AF24" s="37" t="s">
        <v>67</v>
      </c>
      <c r="AG24" s="37" t="s">
        <v>67</v>
      </c>
      <c r="AH24" s="37" t="s">
        <v>67</v>
      </c>
      <c r="AI24" s="37" t="s">
        <v>90</v>
      </c>
      <c r="AJ24" s="37" t="s">
        <v>63</v>
      </c>
      <c r="AK24" s="37" t="s">
        <v>156</v>
      </c>
      <c r="AL24" s="37" t="s">
        <v>67</v>
      </c>
      <c r="AM24" s="37" t="s">
        <v>67</v>
      </c>
      <c r="AN24" s="37" t="s">
        <v>67</v>
      </c>
      <c r="AO24" s="37" t="s">
        <v>67</v>
      </c>
      <c r="AP24" s="37" t="s">
        <v>67</v>
      </c>
      <c r="AQ24" s="37" t="s">
        <v>67</v>
      </c>
      <c r="AR24" s="37" t="s">
        <v>67</v>
      </c>
      <c r="AS24" s="37" t="s">
        <v>221</v>
      </c>
      <c r="AT24" s="37" t="s">
        <v>67</v>
      </c>
      <c r="AU24" s="37" t="s">
        <v>157</v>
      </c>
      <c r="AV24" s="37" t="s">
        <v>226</v>
      </c>
      <c r="AW24" s="37" t="s">
        <v>227</v>
      </c>
      <c r="AX24" s="37" t="s">
        <v>123</v>
      </c>
      <c r="AY24" s="37" t="s">
        <v>67</v>
      </c>
      <c r="AZ24" s="37" t="s">
        <v>313</v>
      </c>
      <c r="BA24" s="37" t="s">
        <v>127</v>
      </c>
      <c r="BB24" s="37" t="s">
        <v>67</v>
      </c>
      <c r="BC24" s="37" t="s">
        <v>143</v>
      </c>
      <c r="BD24" s="37" t="s">
        <v>144</v>
      </c>
      <c r="BE24" s="37" t="s">
        <v>83</v>
      </c>
      <c r="BF24" s="37" t="s">
        <v>67</v>
      </c>
      <c r="BG24" s="37" t="s">
        <v>83</v>
      </c>
      <c r="BH24" s="37" t="s">
        <v>67</v>
      </c>
      <c r="BI24" s="37" t="s">
        <v>83</v>
      </c>
      <c r="BJ24" s="37" t="s">
        <v>67</v>
      </c>
      <c r="BK24" s="37" t="s">
        <v>120</v>
      </c>
      <c r="BL24" s="37" t="s">
        <v>300</v>
      </c>
      <c r="BM24" s="37" t="s">
        <v>414</v>
      </c>
      <c r="BN24" s="37" t="s">
        <v>67</v>
      </c>
      <c r="BO24" s="37" t="s">
        <v>67</v>
      </c>
      <c r="BP24" s="37" t="s">
        <v>67</v>
      </c>
      <c r="BQ24" s="37" t="s">
        <v>67</v>
      </c>
      <c r="BR24" s="68"/>
      <c r="BS24" s="37">
        <v>5</v>
      </c>
    </row>
    <row r="25" spans="1:71" ht="20.149999999999999" customHeight="1" x14ac:dyDescent="0.3">
      <c r="A25" s="55">
        <v>22</v>
      </c>
      <c r="B25" s="37" t="str">
        <f t="shared" si="0"/>
        <v>Oct_Release_FixedOrders_J9_COT_E2E_TOM_0022</v>
      </c>
      <c r="C25" s="37" t="s">
        <v>67</v>
      </c>
      <c r="D25" s="37" t="s">
        <v>67</v>
      </c>
      <c r="E25" s="37" t="s">
        <v>67</v>
      </c>
      <c r="F25" s="37" t="s">
        <v>68</v>
      </c>
      <c r="G25" s="37" t="str">
        <f t="shared" si="1"/>
        <v>A valid SSO SSJ Journey for COT Across NW</v>
      </c>
      <c r="H25" s="37" t="s">
        <v>70</v>
      </c>
      <c r="I25" s="37" t="s">
        <v>69</v>
      </c>
      <c r="J25" s="37" t="s">
        <v>71</v>
      </c>
      <c r="K25" s="37" t="s">
        <v>72</v>
      </c>
      <c r="L25" s="37" t="s">
        <v>63</v>
      </c>
      <c r="M25" s="37" t="s">
        <v>156</v>
      </c>
      <c r="N25" s="37" t="s">
        <v>157</v>
      </c>
      <c r="O25" s="37" t="s">
        <v>226</v>
      </c>
      <c r="P25" s="37" t="s">
        <v>227</v>
      </c>
      <c r="Q25" s="37" t="s">
        <v>123</v>
      </c>
      <c r="R25" s="37" t="s">
        <v>67</v>
      </c>
      <c r="S25" s="37" t="s">
        <v>83</v>
      </c>
      <c r="T25" s="37" t="s">
        <v>83</v>
      </c>
      <c r="U25" s="37" t="s">
        <v>83</v>
      </c>
      <c r="V25" s="37" t="s">
        <v>311</v>
      </c>
      <c r="W25" s="37" t="s">
        <v>91</v>
      </c>
      <c r="X25" s="37" t="s">
        <v>83</v>
      </c>
      <c r="Y25" s="37" t="s">
        <v>67</v>
      </c>
      <c r="Z25" s="37" t="s">
        <v>67</v>
      </c>
      <c r="AA25" s="37" t="s">
        <v>67</v>
      </c>
      <c r="AB25" s="37" t="s">
        <v>67</v>
      </c>
      <c r="AC25" s="37" t="s">
        <v>67</v>
      </c>
      <c r="AD25" s="37" t="s">
        <v>67</v>
      </c>
      <c r="AE25" s="37" t="s">
        <v>87</v>
      </c>
      <c r="AF25" s="37" t="s">
        <v>67</v>
      </c>
      <c r="AG25" s="37" t="s">
        <v>67</v>
      </c>
      <c r="AH25" s="37" t="s">
        <v>67</v>
      </c>
      <c r="AI25" s="37" t="s">
        <v>90</v>
      </c>
      <c r="AJ25" s="37" t="s">
        <v>63</v>
      </c>
      <c r="AK25" s="37" t="s">
        <v>129</v>
      </c>
      <c r="AL25" s="37" t="s">
        <v>67</v>
      </c>
      <c r="AM25" s="37" t="s">
        <v>67</v>
      </c>
      <c r="AN25" s="37" t="s">
        <v>67</v>
      </c>
      <c r="AO25" s="37" t="s">
        <v>67</v>
      </c>
      <c r="AP25" s="37" t="s">
        <v>67</v>
      </c>
      <c r="AQ25" s="37" t="s">
        <v>67</v>
      </c>
      <c r="AR25" s="37" t="s">
        <v>67</v>
      </c>
      <c r="AS25" s="37" t="s">
        <v>230</v>
      </c>
      <c r="AT25" s="37" t="s">
        <v>67</v>
      </c>
      <c r="AU25" s="37" t="s">
        <v>130</v>
      </c>
      <c r="AV25" s="37" t="s">
        <v>131</v>
      </c>
      <c r="AW25" s="37" t="s">
        <v>132</v>
      </c>
      <c r="AX25" s="37" t="s">
        <v>133</v>
      </c>
      <c r="AY25" s="37" t="s">
        <v>67</v>
      </c>
      <c r="AZ25" s="37" t="s">
        <v>313</v>
      </c>
      <c r="BA25" s="37" t="s">
        <v>152</v>
      </c>
      <c r="BB25" s="37" t="s">
        <v>67</v>
      </c>
      <c r="BC25" s="37" t="s">
        <v>143</v>
      </c>
      <c r="BD25" s="37" t="s">
        <v>144</v>
      </c>
      <c r="BE25" s="37" t="s">
        <v>83</v>
      </c>
      <c r="BF25" s="37" t="s">
        <v>67</v>
      </c>
      <c r="BG25" s="37" t="s">
        <v>83</v>
      </c>
      <c r="BH25" s="37" t="s">
        <v>67</v>
      </c>
      <c r="BI25" s="37" t="s">
        <v>83</v>
      </c>
      <c r="BJ25" s="37" t="s">
        <v>67</v>
      </c>
      <c r="BK25" s="37" t="s">
        <v>120</v>
      </c>
      <c r="BL25" s="37" t="s">
        <v>300</v>
      </c>
      <c r="BM25" s="37" t="s">
        <v>414</v>
      </c>
      <c r="BN25" s="37" t="s">
        <v>67</v>
      </c>
      <c r="BO25" s="37" t="s">
        <v>153</v>
      </c>
      <c r="BP25" s="37" t="s">
        <v>196</v>
      </c>
      <c r="BQ25" s="37" t="s">
        <v>155</v>
      </c>
      <c r="BR25" s="68"/>
      <c r="BS25" s="37">
        <v>5</v>
      </c>
    </row>
    <row r="26" spans="1:71" ht="20.149999999999999" customHeight="1" x14ac:dyDescent="0.3">
      <c r="A26" s="57">
        <v>23</v>
      </c>
      <c r="B26" s="43" t="str">
        <f t="shared" si="0"/>
        <v>Oct_Release_FixedOrders_J9_COT_E2E_TOM_0023</v>
      </c>
      <c r="C26" s="43" t="s">
        <v>67</v>
      </c>
      <c r="D26" s="43" t="s">
        <v>67</v>
      </c>
      <c r="E26" s="43" t="s">
        <v>68</v>
      </c>
      <c r="F26" s="43" t="s">
        <v>67</v>
      </c>
      <c r="G26" s="43" t="str">
        <f t="shared" si="1"/>
        <v>A valid SSO SSJ Journey for COT Across NW</v>
      </c>
      <c r="H26" s="43" t="s">
        <v>70</v>
      </c>
      <c r="I26" s="43" t="s">
        <v>69</v>
      </c>
      <c r="J26" s="43" t="s">
        <v>71</v>
      </c>
      <c r="K26" s="43" t="s">
        <v>72</v>
      </c>
      <c r="L26" s="43" t="s">
        <v>91</v>
      </c>
      <c r="M26" s="43" t="s">
        <v>210</v>
      </c>
      <c r="N26" s="43" t="s">
        <v>118</v>
      </c>
      <c r="O26" s="43" t="s">
        <v>218</v>
      </c>
      <c r="P26" s="43" t="s">
        <v>233</v>
      </c>
      <c r="Q26" s="43" t="s">
        <v>623</v>
      </c>
      <c r="R26" s="43" t="s">
        <v>67</v>
      </c>
      <c r="S26" s="43" t="s">
        <v>370</v>
      </c>
      <c r="T26" s="43" t="s">
        <v>372</v>
      </c>
      <c r="U26" s="43" t="s">
        <v>83</v>
      </c>
      <c r="V26" s="43" t="s">
        <v>320</v>
      </c>
      <c r="W26" s="43" t="s">
        <v>91</v>
      </c>
      <c r="X26" s="43" t="s">
        <v>241</v>
      </c>
      <c r="Y26" s="43" t="s">
        <v>67</v>
      </c>
      <c r="Z26" s="43" t="s">
        <v>67</v>
      </c>
      <c r="AA26" s="43" t="s">
        <v>67</v>
      </c>
      <c r="AB26" s="43" t="s">
        <v>67</v>
      </c>
      <c r="AC26" s="43" t="s">
        <v>67</v>
      </c>
      <c r="AD26" s="43" t="s">
        <v>67</v>
      </c>
      <c r="AE26" s="43" t="s">
        <v>67</v>
      </c>
      <c r="AF26" s="43" t="s">
        <v>67</v>
      </c>
      <c r="AG26" s="43" t="s">
        <v>67</v>
      </c>
      <c r="AH26" s="43" t="s">
        <v>67</v>
      </c>
      <c r="AI26" s="43" t="s">
        <v>90</v>
      </c>
      <c r="AJ26" s="43" t="s">
        <v>74</v>
      </c>
      <c r="AK26" s="43" t="s">
        <v>236</v>
      </c>
      <c r="AL26" s="43" t="s">
        <v>67</v>
      </c>
      <c r="AM26" s="43" t="s">
        <v>189</v>
      </c>
      <c r="AN26" s="43" t="s">
        <v>67</v>
      </c>
      <c r="AO26" s="43" t="s">
        <v>67</v>
      </c>
      <c r="AP26" s="43" t="s">
        <v>67</v>
      </c>
      <c r="AQ26" s="43" t="s">
        <v>67</v>
      </c>
      <c r="AR26" s="43" t="s">
        <v>67</v>
      </c>
      <c r="AS26" s="43" t="s">
        <v>237</v>
      </c>
      <c r="AT26" s="43" t="s">
        <v>67</v>
      </c>
      <c r="AU26" s="43" t="s">
        <v>76</v>
      </c>
      <c r="AV26" s="43" t="s">
        <v>238</v>
      </c>
      <c r="AW26" s="43" t="s">
        <v>239</v>
      </c>
      <c r="AX26" s="43" t="s">
        <v>133</v>
      </c>
      <c r="AY26" s="43" t="s">
        <v>67</v>
      </c>
      <c r="AZ26" s="43" t="s">
        <v>395</v>
      </c>
      <c r="BA26" s="43" t="s">
        <v>127</v>
      </c>
      <c r="BB26" s="43" t="s">
        <v>222</v>
      </c>
      <c r="BC26" s="43" t="s">
        <v>143</v>
      </c>
      <c r="BD26" s="43" t="s">
        <v>144</v>
      </c>
      <c r="BE26" s="43" t="s">
        <v>392</v>
      </c>
      <c r="BF26" s="43" t="s">
        <v>67</v>
      </c>
      <c r="BG26" s="43" t="s">
        <v>432</v>
      </c>
      <c r="BH26" s="43" t="s">
        <v>67</v>
      </c>
      <c r="BI26" s="43" t="s">
        <v>391</v>
      </c>
      <c r="BJ26" s="43" t="s">
        <v>387</v>
      </c>
      <c r="BK26" s="43" t="s">
        <v>120</v>
      </c>
      <c r="BL26" s="43" t="s">
        <v>300</v>
      </c>
      <c r="BM26" s="43" t="s">
        <v>415</v>
      </c>
      <c r="BN26" s="43" t="s">
        <v>67</v>
      </c>
      <c r="BO26" s="43" t="s">
        <v>67</v>
      </c>
      <c r="BP26" s="43" t="s">
        <v>67</v>
      </c>
      <c r="BQ26" s="43" t="s">
        <v>67</v>
      </c>
      <c r="BR26" s="68"/>
      <c r="BS26" s="43">
        <v>5</v>
      </c>
    </row>
    <row r="27" spans="1:71" ht="20.149999999999999" customHeight="1" x14ac:dyDescent="0.3">
      <c r="A27" s="57">
        <v>24</v>
      </c>
      <c r="B27" s="43" t="str">
        <f t="shared" si="0"/>
        <v>Oct_Release_FixedOrders_J9_COT_E2E_TOM_0024</v>
      </c>
      <c r="C27" s="43" t="s">
        <v>67</v>
      </c>
      <c r="D27" s="43" t="s">
        <v>67</v>
      </c>
      <c r="E27" s="43" t="s">
        <v>68</v>
      </c>
      <c r="F27" s="43" t="s">
        <v>67</v>
      </c>
      <c r="G27" s="43" t="str">
        <f t="shared" si="1"/>
        <v>A valid SSO SSJ Journey for COT Across NW</v>
      </c>
      <c r="H27" s="43" t="s">
        <v>69</v>
      </c>
      <c r="I27" s="43" t="s">
        <v>70</v>
      </c>
      <c r="J27" s="43" t="s">
        <v>71</v>
      </c>
      <c r="K27" s="43" t="s">
        <v>72</v>
      </c>
      <c r="L27" s="43" t="s">
        <v>91</v>
      </c>
      <c r="M27" s="43" t="s">
        <v>81</v>
      </c>
      <c r="N27" s="43" t="s">
        <v>118</v>
      </c>
      <c r="O27" s="43" t="s">
        <v>98</v>
      </c>
      <c r="P27" s="43" t="s">
        <v>99</v>
      </c>
      <c r="Q27" s="43" t="s">
        <v>79</v>
      </c>
      <c r="R27" s="43" t="s">
        <v>67</v>
      </c>
      <c r="S27" s="43" t="s">
        <v>83</v>
      </c>
      <c r="T27" s="43" t="s">
        <v>83</v>
      </c>
      <c r="U27" s="43" t="s">
        <v>83</v>
      </c>
      <c r="V27" s="43" t="s">
        <v>240</v>
      </c>
      <c r="W27" s="43" t="s">
        <v>91</v>
      </c>
      <c r="X27" s="43" t="s">
        <v>241</v>
      </c>
      <c r="Y27" s="43" t="s">
        <v>67</v>
      </c>
      <c r="Z27" s="43" t="s">
        <v>67</v>
      </c>
      <c r="AA27" s="43" t="s">
        <v>67</v>
      </c>
      <c r="AB27" s="43" t="s">
        <v>67</v>
      </c>
      <c r="AC27" s="43" t="s">
        <v>67</v>
      </c>
      <c r="AD27" s="43" t="s">
        <v>67</v>
      </c>
      <c r="AE27" s="43" t="s">
        <v>67</v>
      </c>
      <c r="AF27" s="43" t="s">
        <v>67</v>
      </c>
      <c r="AG27" s="43" t="s">
        <v>67</v>
      </c>
      <c r="AH27" s="43" t="s">
        <v>67</v>
      </c>
      <c r="AI27" s="43" t="s">
        <v>90</v>
      </c>
      <c r="AJ27" s="43" t="s">
        <v>74</v>
      </c>
      <c r="AK27" s="43" t="s">
        <v>75</v>
      </c>
      <c r="AL27" s="43" t="s">
        <v>67</v>
      </c>
      <c r="AM27" s="43" t="s">
        <v>78</v>
      </c>
      <c r="AN27" s="43" t="s">
        <v>67</v>
      </c>
      <c r="AO27" s="43" t="s">
        <v>67</v>
      </c>
      <c r="AP27" s="43" t="s">
        <v>67</v>
      </c>
      <c r="AQ27" s="43" t="s">
        <v>67</v>
      </c>
      <c r="AR27" s="43" t="s">
        <v>67</v>
      </c>
      <c r="AS27" s="43" t="s">
        <v>242</v>
      </c>
      <c r="AT27" s="43" t="s">
        <v>67</v>
      </c>
      <c r="AU27" s="43" t="s">
        <v>76</v>
      </c>
      <c r="AV27" s="43" t="s">
        <v>243</v>
      </c>
      <c r="AW27" s="43" t="s">
        <v>244</v>
      </c>
      <c r="AX27" s="43" t="s">
        <v>79</v>
      </c>
      <c r="AY27" s="43" t="s">
        <v>67</v>
      </c>
      <c r="AZ27" s="43" t="s">
        <v>67</v>
      </c>
      <c r="BA27" s="43" t="s">
        <v>67</v>
      </c>
      <c r="BB27" s="43" t="s">
        <v>67</v>
      </c>
      <c r="BC27" s="43" t="s">
        <v>67</v>
      </c>
      <c r="BD27" s="43" t="s">
        <v>67</v>
      </c>
      <c r="BE27" s="43" t="s">
        <v>83</v>
      </c>
      <c r="BF27" s="43" t="s">
        <v>67</v>
      </c>
      <c r="BG27" s="43" t="s">
        <v>83</v>
      </c>
      <c r="BH27" s="43" t="s">
        <v>67</v>
      </c>
      <c r="BI27" s="43" t="s">
        <v>83</v>
      </c>
      <c r="BJ27" s="43" t="s">
        <v>67</v>
      </c>
      <c r="BK27" s="43" t="s">
        <v>120</v>
      </c>
      <c r="BL27" s="43" t="s">
        <v>300</v>
      </c>
      <c r="BM27" s="43" t="s">
        <v>415</v>
      </c>
      <c r="BN27" s="43" t="s">
        <v>67</v>
      </c>
      <c r="BO27" s="43" t="s">
        <v>67</v>
      </c>
      <c r="BP27" s="43" t="s">
        <v>67</v>
      </c>
      <c r="BQ27" s="43" t="s">
        <v>67</v>
      </c>
      <c r="BR27" s="68"/>
      <c r="BS27" s="43">
        <v>5</v>
      </c>
    </row>
    <row r="28" spans="1:71" ht="20.149999999999999" customHeight="1" x14ac:dyDescent="0.3">
      <c r="A28" s="57">
        <v>25</v>
      </c>
      <c r="B28" s="43" t="str">
        <f t="shared" si="0"/>
        <v>Oct_Release_FixedOrders_J9_COT_E2E_TOM_0025</v>
      </c>
      <c r="C28" s="43" t="s">
        <v>67</v>
      </c>
      <c r="D28" s="43" t="s">
        <v>67</v>
      </c>
      <c r="E28" s="43" t="s">
        <v>68</v>
      </c>
      <c r="F28" s="43" t="s">
        <v>67</v>
      </c>
      <c r="G28" s="43" t="str">
        <f t="shared" si="1"/>
        <v>A valid SSO SSJ Journey for COT Across NW</v>
      </c>
      <c r="H28" s="43" t="s">
        <v>69</v>
      </c>
      <c r="I28" s="43" t="s">
        <v>70</v>
      </c>
      <c r="J28" s="43" t="s">
        <v>71</v>
      </c>
      <c r="K28" s="43" t="s">
        <v>72</v>
      </c>
      <c r="L28" s="43" t="s">
        <v>91</v>
      </c>
      <c r="M28" s="43" t="s">
        <v>190</v>
      </c>
      <c r="N28" s="43" t="s">
        <v>118</v>
      </c>
      <c r="O28" s="43" t="s">
        <v>207</v>
      </c>
      <c r="P28" s="43" t="s">
        <v>202</v>
      </c>
      <c r="Q28" s="43" t="s">
        <v>123</v>
      </c>
      <c r="R28" s="43" t="s">
        <v>67</v>
      </c>
      <c r="S28" s="43" t="s">
        <v>371</v>
      </c>
      <c r="T28" s="43" t="s">
        <v>83</v>
      </c>
      <c r="U28" s="43" t="s">
        <v>389</v>
      </c>
      <c r="V28" s="43" t="s">
        <v>320</v>
      </c>
      <c r="W28" s="43" t="s">
        <v>91</v>
      </c>
      <c r="X28" s="43" t="s">
        <v>241</v>
      </c>
      <c r="Y28" s="43" t="s">
        <v>67</v>
      </c>
      <c r="Z28" s="43" t="s">
        <v>67</v>
      </c>
      <c r="AA28" s="43" t="s">
        <v>67</v>
      </c>
      <c r="AB28" s="43" t="s">
        <v>67</v>
      </c>
      <c r="AC28" s="43" t="s">
        <v>67</v>
      </c>
      <c r="AD28" s="43" t="s">
        <v>67</v>
      </c>
      <c r="AE28" s="43" t="s">
        <v>67</v>
      </c>
      <c r="AF28" s="43" t="s">
        <v>67</v>
      </c>
      <c r="AG28" s="43" t="s">
        <v>67</v>
      </c>
      <c r="AH28" s="43" t="s">
        <v>67</v>
      </c>
      <c r="AI28" s="43" t="s">
        <v>90</v>
      </c>
      <c r="AJ28" s="43" t="s">
        <v>74</v>
      </c>
      <c r="AK28" s="43" t="s">
        <v>248</v>
      </c>
      <c r="AL28" s="43" t="s">
        <v>67</v>
      </c>
      <c r="AM28" s="43" t="s">
        <v>189</v>
      </c>
      <c r="AN28" s="43" t="s">
        <v>67</v>
      </c>
      <c r="AO28" s="43" t="s">
        <v>67</v>
      </c>
      <c r="AP28" s="43" t="s">
        <v>67</v>
      </c>
      <c r="AQ28" s="43" t="s">
        <v>67</v>
      </c>
      <c r="AR28" s="43" t="s">
        <v>67</v>
      </c>
      <c r="AS28" s="43" t="s">
        <v>237</v>
      </c>
      <c r="AT28" s="43" t="s">
        <v>67</v>
      </c>
      <c r="AU28" s="43" t="s">
        <v>76</v>
      </c>
      <c r="AV28" s="43" t="s">
        <v>249</v>
      </c>
      <c r="AW28" s="43" t="s">
        <v>189</v>
      </c>
      <c r="AX28" s="43" t="s">
        <v>79</v>
      </c>
      <c r="AY28" s="43" t="s">
        <v>67</v>
      </c>
      <c r="AZ28" s="43" t="s">
        <v>67</v>
      </c>
      <c r="BA28" s="43" t="s">
        <v>67</v>
      </c>
      <c r="BB28" s="43" t="s">
        <v>67</v>
      </c>
      <c r="BC28" s="43" t="s">
        <v>67</v>
      </c>
      <c r="BD28" s="43" t="s">
        <v>186</v>
      </c>
      <c r="BE28" s="43" t="s">
        <v>394</v>
      </c>
      <c r="BF28" s="43" t="s">
        <v>67</v>
      </c>
      <c r="BG28" s="43" t="s">
        <v>385</v>
      </c>
      <c r="BH28" s="43" t="s">
        <v>387</v>
      </c>
      <c r="BI28" s="43" t="s">
        <v>432</v>
      </c>
      <c r="BJ28" s="43" t="s">
        <v>67</v>
      </c>
      <c r="BK28" s="43" t="s">
        <v>120</v>
      </c>
      <c r="BL28" s="43" t="s">
        <v>300</v>
      </c>
      <c r="BM28" s="43" t="s">
        <v>415</v>
      </c>
      <c r="BN28" s="43" t="s">
        <v>67</v>
      </c>
      <c r="BO28" s="43" t="s">
        <v>67</v>
      </c>
      <c r="BP28" s="43" t="s">
        <v>67</v>
      </c>
      <c r="BQ28" s="43" t="s">
        <v>67</v>
      </c>
      <c r="BR28" s="68"/>
      <c r="BS28" s="43">
        <v>5</v>
      </c>
    </row>
    <row r="29" spans="1:71" ht="20.149999999999999" customHeight="1" x14ac:dyDescent="0.3">
      <c r="A29" s="57">
        <v>26</v>
      </c>
      <c r="B29" s="43" t="str">
        <f t="shared" si="0"/>
        <v>Oct_Release_FixedOrders_J9_COT_E2E_TOM_0026</v>
      </c>
      <c r="C29" s="43" t="s">
        <v>67</v>
      </c>
      <c r="D29" s="43" t="s">
        <v>67</v>
      </c>
      <c r="E29" s="43" t="s">
        <v>68</v>
      </c>
      <c r="F29" s="43" t="s">
        <v>67</v>
      </c>
      <c r="G29" s="43" t="str">
        <f t="shared" si="1"/>
        <v>A valid SSO SSJ Journey for COT Across NW</v>
      </c>
      <c r="H29" s="43" t="s">
        <v>69</v>
      </c>
      <c r="I29" s="43" t="s">
        <v>70</v>
      </c>
      <c r="J29" s="43" t="s">
        <v>71</v>
      </c>
      <c r="K29" s="43" t="s">
        <v>72</v>
      </c>
      <c r="L29" s="43" t="s">
        <v>82</v>
      </c>
      <c r="M29" s="43" t="s">
        <v>81</v>
      </c>
      <c r="N29" s="43" t="s">
        <v>109</v>
      </c>
      <c r="O29" s="43" t="s">
        <v>250</v>
      </c>
      <c r="P29" s="43" t="s">
        <v>251</v>
      </c>
      <c r="Q29" s="43" t="s">
        <v>79</v>
      </c>
      <c r="R29" s="43" t="s">
        <v>67</v>
      </c>
      <c r="S29" s="43" t="s">
        <v>83</v>
      </c>
      <c r="T29" s="43" t="s">
        <v>83</v>
      </c>
      <c r="U29" s="43" t="s">
        <v>83</v>
      </c>
      <c r="V29" s="43" t="s">
        <v>252</v>
      </c>
      <c r="W29" s="43" t="s">
        <v>82</v>
      </c>
      <c r="X29" s="43" t="s">
        <v>241</v>
      </c>
      <c r="Y29" s="43" t="s">
        <v>67</v>
      </c>
      <c r="Z29" s="43" t="s">
        <v>67</v>
      </c>
      <c r="AA29" s="43" t="s">
        <v>67</v>
      </c>
      <c r="AB29" s="43" t="s">
        <v>67</v>
      </c>
      <c r="AC29" s="43" t="s">
        <v>67</v>
      </c>
      <c r="AD29" s="43" t="s">
        <v>67</v>
      </c>
      <c r="AE29" s="43" t="s">
        <v>67</v>
      </c>
      <c r="AF29" s="43" t="s">
        <v>67</v>
      </c>
      <c r="AG29" s="43" t="s">
        <v>67</v>
      </c>
      <c r="AH29" s="43" t="s">
        <v>67</v>
      </c>
      <c r="AI29" s="43" t="s">
        <v>90</v>
      </c>
      <c r="AJ29" s="43" t="s">
        <v>74</v>
      </c>
      <c r="AK29" s="43" t="s">
        <v>253</v>
      </c>
      <c r="AL29" s="43" t="s">
        <v>67</v>
      </c>
      <c r="AM29" s="43" t="s">
        <v>189</v>
      </c>
      <c r="AN29" s="43" t="s">
        <v>67</v>
      </c>
      <c r="AO29" s="43" t="s">
        <v>67</v>
      </c>
      <c r="AP29" s="43" t="s">
        <v>67</v>
      </c>
      <c r="AQ29" s="43" t="s">
        <v>67</v>
      </c>
      <c r="AR29" s="43" t="s">
        <v>67</v>
      </c>
      <c r="AS29" s="43" t="s">
        <v>237</v>
      </c>
      <c r="AT29" s="43" t="s">
        <v>67</v>
      </c>
      <c r="AU29" s="43" t="s">
        <v>76</v>
      </c>
      <c r="AV29" s="43" t="s">
        <v>254</v>
      </c>
      <c r="AW29" s="43" t="s">
        <v>255</v>
      </c>
      <c r="AX29" s="43" t="s">
        <v>133</v>
      </c>
      <c r="AY29" s="43" t="s">
        <v>256</v>
      </c>
      <c r="AZ29" s="43" t="s">
        <v>395</v>
      </c>
      <c r="BA29" s="43" t="s">
        <v>152</v>
      </c>
      <c r="BB29" s="43" t="s">
        <v>222</v>
      </c>
      <c r="BC29" s="43" t="s">
        <v>143</v>
      </c>
      <c r="BD29" s="43" t="s">
        <v>195</v>
      </c>
      <c r="BE29" s="43" t="s">
        <v>83</v>
      </c>
      <c r="BF29" s="43" t="s">
        <v>67</v>
      </c>
      <c r="BG29" s="43" t="s">
        <v>83</v>
      </c>
      <c r="BH29" s="43" t="s">
        <v>67</v>
      </c>
      <c r="BI29" s="43" t="s">
        <v>83</v>
      </c>
      <c r="BJ29" s="43" t="s">
        <v>67</v>
      </c>
      <c r="BK29" s="43" t="s">
        <v>120</v>
      </c>
      <c r="BL29" s="43" t="s">
        <v>300</v>
      </c>
      <c r="BM29" s="43" t="s">
        <v>415</v>
      </c>
      <c r="BN29" s="43" t="s">
        <v>67</v>
      </c>
      <c r="BO29" s="43" t="s">
        <v>153</v>
      </c>
      <c r="BP29" s="43" t="s">
        <v>196</v>
      </c>
      <c r="BQ29" s="43" t="s">
        <v>155</v>
      </c>
      <c r="BR29" s="68"/>
      <c r="BS29" s="43">
        <v>5</v>
      </c>
    </row>
    <row r="30" spans="1:71" ht="20.149999999999999" customHeight="1" x14ac:dyDescent="0.3">
      <c r="A30" s="57">
        <v>27</v>
      </c>
      <c r="B30" s="43" t="str">
        <f t="shared" si="0"/>
        <v>Oct_Release_FixedOrders_J9_COT_E2E_TOM_0027</v>
      </c>
      <c r="C30" s="43" t="s">
        <v>67</v>
      </c>
      <c r="D30" s="43" t="s">
        <v>67</v>
      </c>
      <c r="E30" s="43" t="s">
        <v>68</v>
      </c>
      <c r="F30" s="43" t="s">
        <v>67</v>
      </c>
      <c r="G30" s="43" t="str">
        <f t="shared" si="1"/>
        <v>A valid SSO SSJ Journey for COT Across NW</v>
      </c>
      <c r="H30" s="43" t="s">
        <v>69</v>
      </c>
      <c r="I30" s="43" t="s">
        <v>70</v>
      </c>
      <c r="J30" s="43" t="s">
        <v>71</v>
      </c>
      <c r="K30" s="43" t="s">
        <v>72</v>
      </c>
      <c r="L30" s="43" t="s">
        <v>82</v>
      </c>
      <c r="M30" s="43" t="s">
        <v>81</v>
      </c>
      <c r="N30" s="43" t="s">
        <v>257</v>
      </c>
      <c r="O30" s="43" t="s">
        <v>258</v>
      </c>
      <c r="P30" s="43" t="s">
        <v>108</v>
      </c>
      <c r="Q30" s="43" t="s">
        <v>123</v>
      </c>
      <c r="R30" s="43" t="s">
        <v>67</v>
      </c>
      <c r="S30" s="43" t="s">
        <v>370</v>
      </c>
      <c r="T30" s="43" t="s">
        <v>83</v>
      </c>
      <c r="U30" s="43" t="s">
        <v>83</v>
      </c>
      <c r="V30" s="43" t="s">
        <v>321</v>
      </c>
      <c r="W30" s="43" t="s">
        <v>82</v>
      </c>
      <c r="X30" s="43" t="s">
        <v>241</v>
      </c>
      <c r="Y30" s="43" t="s">
        <v>67</v>
      </c>
      <c r="Z30" s="43" t="s">
        <v>67</v>
      </c>
      <c r="AA30" s="43" t="s">
        <v>67</v>
      </c>
      <c r="AB30" s="43" t="s">
        <v>67</v>
      </c>
      <c r="AC30" s="43" t="s">
        <v>67</v>
      </c>
      <c r="AD30" s="43" t="s">
        <v>67</v>
      </c>
      <c r="AE30" s="43" t="s">
        <v>67</v>
      </c>
      <c r="AF30" s="43" t="s">
        <v>67</v>
      </c>
      <c r="AG30" s="43" t="s">
        <v>67</v>
      </c>
      <c r="AH30" s="43" t="s">
        <v>67</v>
      </c>
      <c r="AI30" s="43" t="s">
        <v>90</v>
      </c>
      <c r="AJ30" s="43" t="s">
        <v>74</v>
      </c>
      <c r="AK30" s="43" t="s">
        <v>75</v>
      </c>
      <c r="AL30" s="43" t="s">
        <v>67</v>
      </c>
      <c r="AM30" s="43" t="s">
        <v>78</v>
      </c>
      <c r="AN30" s="43" t="s">
        <v>67</v>
      </c>
      <c r="AO30" s="43" t="s">
        <v>67</v>
      </c>
      <c r="AP30" s="43" t="s">
        <v>67</v>
      </c>
      <c r="AQ30" s="43" t="s">
        <v>67</v>
      </c>
      <c r="AR30" s="43" t="s">
        <v>67</v>
      </c>
      <c r="AS30" s="43" t="s">
        <v>242</v>
      </c>
      <c r="AT30" s="43" t="s">
        <v>67</v>
      </c>
      <c r="AU30" s="43" t="s">
        <v>76</v>
      </c>
      <c r="AV30" s="43" t="s">
        <v>259</v>
      </c>
      <c r="AW30" s="43" t="s">
        <v>202</v>
      </c>
      <c r="AX30" s="43" t="s">
        <v>79</v>
      </c>
      <c r="AY30" s="43" t="s">
        <v>67</v>
      </c>
      <c r="AZ30" s="43" t="s">
        <v>67</v>
      </c>
      <c r="BA30" s="43" t="s">
        <v>67</v>
      </c>
      <c r="BB30" s="43" t="s">
        <v>67</v>
      </c>
      <c r="BC30" s="43" t="s">
        <v>67</v>
      </c>
      <c r="BD30" s="43" t="s">
        <v>186</v>
      </c>
      <c r="BE30" s="43" t="s">
        <v>392</v>
      </c>
      <c r="BF30" s="43" t="s">
        <v>67</v>
      </c>
      <c r="BG30" s="43" t="s">
        <v>83</v>
      </c>
      <c r="BH30" s="43" t="s">
        <v>67</v>
      </c>
      <c r="BI30" s="43" t="s">
        <v>83</v>
      </c>
      <c r="BJ30" s="43" t="s">
        <v>67</v>
      </c>
      <c r="BK30" s="43" t="s">
        <v>100</v>
      </c>
      <c r="BL30" s="43" t="s">
        <v>300</v>
      </c>
      <c r="BM30" s="43" t="s">
        <v>415</v>
      </c>
      <c r="BN30" s="43" t="s">
        <v>67</v>
      </c>
      <c r="BO30" s="43" t="s">
        <v>67</v>
      </c>
      <c r="BP30" s="43" t="s">
        <v>67</v>
      </c>
      <c r="BQ30" s="43" t="s">
        <v>67</v>
      </c>
      <c r="BR30" s="68"/>
      <c r="BS30" s="43">
        <v>5</v>
      </c>
    </row>
    <row r="31" spans="1:71" ht="20.149999999999999" customHeight="1" x14ac:dyDescent="0.3">
      <c r="A31" s="57">
        <v>28</v>
      </c>
      <c r="B31" s="43" t="str">
        <f t="shared" si="0"/>
        <v>Oct_Release_FixedOrders_J9_COT_E2E_TOM_0028</v>
      </c>
      <c r="C31" s="43" t="s">
        <v>67</v>
      </c>
      <c r="D31" s="43" t="s">
        <v>67</v>
      </c>
      <c r="E31" s="43" t="s">
        <v>67</v>
      </c>
      <c r="F31" s="43" t="s">
        <v>68</v>
      </c>
      <c r="G31" s="43" t="str">
        <f t="shared" si="1"/>
        <v>A valid SSO SSJ Journey for COT Across NW</v>
      </c>
      <c r="H31" s="43" t="s">
        <v>70</v>
      </c>
      <c r="I31" s="43" t="s">
        <v>69</v>
      </c>
      <c r="J31" s="43" t="s">
        <v>71</v>
      </c>
      <c r="K31" s="43" t="s">
        <v>72</v>
      </c>
      <c r="L31" s="43" t="s">
        <v>63</v>
      </c>
      <c r="M31" s="43" t="s">
        <v>129</v>
      </c>
      <c r="N31" s="43" t="s">
        <v>130</v>
      </c>
      <c r="O31" s="43" t="s">
        <v>131</v>
      </c>
      <c r="P31" s="43" t="s">
        <v>132</v>
      </c>
      <c r="Q31" s="43" t="s">
        <v>133</v>
      </c>
      <c r="R31" s="43" t="s">
        <v>67</v>
      </c>
      <c r="S31" s="43" t="s">
        <v>83</v>
      </c>
      <c r="T31" s="43" t="s">
        <v>83</v>
      </c>
      <c r="U31" s="43" t="s">
        <v>83</v>
      </c>
      <c r="V31" s="43" t="s">
        <v>316</v>
      </c>
      <c r="W31" s="43" t="s">
        <v>74</v>
      </c>
      <c r="X31" s="43" t="s">
        <v>83</v>
      </c>
      <c r="Y31" s="43" t="s">
        <v>67</v>
      </c>
      <c r="Z31" s="43" t="s">
        <v>67</v>
      </c>
      <c r="AA31" s="43" t="s">
        <v>67</v>
      </c>
      <c r="AB31" s="43" t="s">
        <v>67</v>
      </c>
      <c r="AC31" s="43" t="s">
        <v>67</v>
      </c>
      <c r="AD31" s="43" t="s">
        <v>67</v>
      </c>
      <c r="AE31" s="43" t="s">
        <v>67</v>
      </c>
      <c r="AF31" s="43" t="s">
        <v>67</v>
      </c>
      <c r="AG31" s="43" t="s">
        <v>67</v>
      </c>
      <c r="AH31" s="43" t="s">
        <v>67</v>
      </c>
      <c r="AI31" s="43" t="s">
        <v>90</v>
      </c>
      <c r="AJ31" s="43" t="s">
        <v>74</v>
      </c>
      <c r="AK31" s="43" t="s">
        <v>236</v>
      </c>
      <c r="AL31" s="43" t="s">
        <v>67</v>
      </c>
      <c r="AM31" s="43" t="s">
        <v>189</v>
      </c>
      <c r="AN31" s="43" t="s">
        <v>67</v>
      </c>
      <c r="AO31" s="43" t="s">
        <v>67</v>
      </c>
      <c r="AP31" s="43" t="s">
        <v>67</v>
      </c>
      <c r="AQ31" s="43" t="s">
        <v>67</v>
      </c>
      <c r="AR31" s="43" t="s">
        <v>67</v>
      </c>
      <c r="AS31" s="43" t="s">
        <v>237</v>
      </c>
      <c r="AT31" s="43" t="s">
        <v>67</v>
      </c>
      <c r="AU31" s="43" t="s">
        <v>76</v>
      </c>
      <c r="AV31" s="43" t="s">
        <v>254</v>
      </c>
      <c r="AW31" s="43" t="s">
        <v>255</v>
      </c>
      <c r="AX31" s="43" t="s">
        <v>133</v>
      </c>
      <c r="AY31" s="43" t="s">
        <v>67</v>
      </c>
      <c r="AZ31" s="43" t="s">
        <v>395</v>
      </c>
      <c r="BA31" s="43" t="s">
        <v>127</v>
      </c>
      <c r="BB31" s="43" t="s">
        <v>222</v>
      </c>
      <c r="BC31" s="43" t="s">
        <v>143</v>
      </c>
      <c r="BD31" s="43" t="s">
        <v>144</v>
      </c>
      <c r="BE31" s="43" t="s">
        <v>83</v>
      </c>
      <c r="BF31" s="43" t="s">
        <v>67</v>
      </c>
      <c r="BG31" s="43" t="s">
        <v>83</v>
      </c>
      <c r="BH31" s="43" t="s">
        <v>67</v>
      </c>
      <c r="BI31" s="43" t="s">
        <v>83</v>
      </c>
      <c r="BJ31" s="43" t="s">
        <v>67</v>
      </c>
      <c r="BK31" s="43" t="s">
        <v>100</v>
      </c>
      <c r="BL31" s="43" t="s">
        <v>300</v>
      </c>
      <c r="BM31" s="43" t="s">
        <v>415</v>
      </c>
      <c r="BN31" s="43" t="s">
        <v>67</v>
      </c>
      <c r="BO31" s="43" t="s">
        <v>67</v>
      </c>
      <c r="BP31" s="43" t="s">
        <v>67</v>
      </c>
      <c r="BQ31" s="43" t="s">
        <v>67</v>
      </c>
      <c r="BR31" s="68"/>
      <c r="BS31" s="43">
        <v>5</v>
      </c>
    </row>
    <row r="32" spans="1:71" ht="20.149999999999999" customHeight="1" x14ac:dyDescent="0.3">
      <c r="A32" s="57">
        <v>29</v>
      </c>
      <c r="B32" s="43" t="str">
        <f t="shared" si="0"/>
        <v>Oct_Release_FixedOrders_J9_COT_E2E_TOM_0029</v>
      </c>
      <c r="C32" s="43" t="s">
        <v>67</v>
      </c>
      <c r="D32" s="43" t="s">
        <v>67</v>
      </c>
      <c r="E32" s="43" t="s">
        <v>67</v>
      </c>
      <c r="F32" s="43" t="s">
        <v>68</v>
      </c>
      <c r="G32" s="43" t="str">
        <f t="shared" si="1"/>
        <v>A valid SSO SSJ Journey for COT Across NW</v>
      </c>
      <c r="H32" s="43" t="s">
        <v>69</v>
      </c>
      <c r="I32" s="43" t="s">
        <v>70</v>
      </c>
      <c r="J32" s="43" t="s">
        <v>71</v>
      </c>
      <c r="K32" s="43" t="s">
        <v>72</v>
      </c>
      <c r="L32" s="43" t="s">
        <v>63</v>
      </c>
      <c r="M32" s="43" t="s">
        <v>129</v>
      </c>
      <c r="N32" s="43" t="s">
        <v>130</v>
      </c>
      <c r="O32" s="43" t="s">
        <v>131</v>
      </c>
      <c r="P32" s="43" t="s">
        <v>132</v>
      </c>
      <c r="Q32" s="43" t="s">
        <v>133</v>
      </c>
      <c r="R32" s="43" t="s">
        <v>67</v>
      </c>
      <c r="S32" s="43" t="s">
        <v>83</v>
      </c>
      <c r="T32" s="43" t="s">
        <v>83</v>
      </c>
      <c r="U32" s="43" t="s">
        <v>83</v>
      </c>
      <c r="V32" s="43" t="s">
        <v>316</v>
      </c>
      <c r="W32" s="43" t="s">
        <v>74</v>
      </c>
      <c r="X32" s="43" t="s">
        <v>83</v>
      </c>
      <c r="Y32" s="43" t="s">
        <v>67</v>
      </c>
      <c r="Z32" s="43" t="s">
        <v>67</v>
      </c>
      <c r="AA32" s="43" t="s">
        <v>67</v>
      </c>
      <c r="AB32" s="43" t="s">
        <v>67</v>
      </c>
      <c r="AC32" s="43" t="s">
        <v>67</v>
      </c>
      <c r="AD32" s="43" t="s">
        <v>67</v>
      </c>
      <c r="AE32" s="43" t="s">
        <v>67</v>
      </c>
      <c r="AF32" s="43" t="s">
        <v>67</v>
      </c>
      <c r="AG32" s="43" t="s">
        <v>67</v>
      </c>
      <c r="AH32" s="43" t="s">
        <v>67</v>
      </c>
      <c r="AI32" s="43" t="s">
        <v>90</v>
      </c>
      <c r="AJ32" s="43" t="s">
        <v>74</v>
      </c>
      <c r="AK32" s="43" t="s">
        <v>253</v>
      </c>
      <c r="AL32" s="43" t="s">
        <v>67</v>
      </c>
      <c r="AM32" s="43" t="s">
        <v>189</v>
      </c>
      <c r="AN32" s="43" t="s">
        <v>67</v>
      </c>
      <c r="AO32" s="43" t="s">
        <v>67</v>
      </c>
      <c r="AP32" s="43" t="s">
        <v>67</v>
      </c>
      <c r="AQ32" s="43" t="s">
        <v>67</v>
      </c>
      <c r="AR32" s="43" t="s">
        <v>67</v>
      </c>
      <c r="AS32" s="43" t="s">
        <v>237</v>
      </c>
      <c r="AT32" s="43" t="s">
        <v>67</v>
      </c>
      <c r="AU32" s="43" t="s">
        <v>76</v>
      </c>
      <c r="AV32" s="43" t="s">
        <v>261</v>
      </c>
      <c r="AW32" s="43" t="s">
        <v>202</v>
      </c>
      <c r="AX32" s="43" t="s">
        <v>79</v>
      </c>
      <c r="AY32" s="43" t="s">
        <v>67</v>
      </c>
      <c r="AZ32" s="43" t="s">
        <v>67</v>
      </c>
      <c r="BA32" s="43" t="s">
        <v>67</v>
      </c>
      <c r="BB32" s="43" t="s">
        <v>67</v>
      </c>
      <c r="BC32" s="43" t="s">
        <v>67</v>
      </c>
      <c r="BD32" s="43" t="s">
        <v>186</v>
      </c>
      <c r="BE32" s="43" t="s">
        <v>83</v>
      </c>
      <c r="BF32" s="43" t="s">
        <v>67</v>
      </c>
      <c r="BG32" s="43" t="s">
        <v>83</v>
      </c>
      <c r="BH32" s="43" t="s">
        <v>67</v>
      </c>
      <c r="BI32" s="43" t="s">
        <v>83</v>
      </c>
      <c r="BJ32" s="43" t="s">
        <v>67</v>
      </c>
      <c r="BK32" s="43" t="s">
        <v>120</v>
      </c>
      <c r="BL32" s="43" t="s">
        <v>300</v>
      </c>
      <c r="BM32" s="43" t="s">
        <v>415</v>
      </c>
      <c r="BN32" s="43" t="s">
        <v>67</v>
      </c>
      <c r="BO32" s="43" t="s">
        <v>67</v>
      </c>
      <c r="BP32" s="43" t="s">
        <v>67</v>
      </c>
      <c r="BQ32" s="43" t="s">
        <v>67</v>
      </c>
      <c r="BR32" s="68"/>
      <c r="BS32" s="43">
        <v>5</v>
      </c>
    </row>
    <row r="33" spans="1:71" ht="20.149999999999999" customHeight="1" x14ac:dyDescent="0.3">
      <c r="A33" s="57">
        <v>30</v>
      </c>
      <c r="B33" s="43" t="str">
        <f t="shared" si="0"/>
        <v>Oct_Release_FixedOrders_J9_COT_E2E_TOM_0030</v>
      </c>
      <c r="C33" s="43" t="s">
        <v>67</v>
      </c>
      <c r="D33" s="43" t="s">
        <v>67</v>
      </c>
      <c r="E33" s="43" t="s">
        <v>67</v>
      </c>
      <c r="F33" s="43" t="s">
        <v>68</v>
      </c>
      <c r="G33" s="43" t="str">
        <f t="shared" si="1"/>
        <v>A valid SSO SSJ Journey for COT Across NW</v>
      </c>
      <c r="H33" s="43" t="s">
        <v>70</v>
      </c>
      <c r="I33" s="43" t="s">
        <v>69</v>
      </c>
      <c r="J33" s="43" t="s">
        <v>71</v>
      </c>
      <c r="K33" s="43" t="s">
        <v>72</v>
      </c>
      <c r="L33" s="43" t="s">
        <v>63</v>
      </c>
      <c r="M33" s="43" t="s">
        <v>156</v>
      </c>
      <c r="N33" s="43" t="s">
        <v>157</v>
      </c>
      <c r="O33" s="43" t="s">
        <v>226</v>
      </c>
      <c r="P33" s="43" t="s">
        <v>227</v>
      </c>
      <c r="Q33" s="43" t="s">
        <v>123</v>
      </c>
      <c r="R33" s="43" t="s">
        <v>67</v>
      </c>
      <c r="S33" s="43" t="s">
        <v>83</v>
      </c>
      <c r="T33" s="43" t="s">
        <v>83</v>
      </c>
      <c r="U33" s="43" t="s">
        <v>83</v>
      </c>
      <c r="V33" s="43" t="s">
        <v>332</v>
      </c>
      <c r="W33" s="43" t="s">
        <v>74</v>
      </c>
      <c r="X33" s="43" t="s">
        <v>83</v>
      </c>
      <c r="Y33" s="43" t="s">
        <v>67</v>
      </c>
      <c r="Z33" s="43" t="s">
        <v>67</v>
      </c>
      <c r="AA33" s="43" t="s">
        <v>67</v>
      </c>
      <c r="AB33" s="43" t="s">
        <v>67</v>
      </c>
      <c r="AC33" s="43" t="s">
        <v>67</v>
      </c>
      <c r="AD33" s="43" t="s">
        <v>67</v>
      </c>
      <c r="AE33" s="43" t="s">
        <v>67</v>
      </c>
      <c r="AF33" s="43" t="s">
        <v>67</v>
      </c>
      <c r="AG33" s="43" t="s">
        <v>67</v>
      </c>
      <c r="AH33" s="43" t="s">
        <v>67</v>
      </c>
      <c r="AI33" s="43" t="s">
        <v>90</v>
      </c>
      <c r="AJ33" s="43" t="s">
        <v>74</v>
      </c>
      <c r="AK33" s="43" t="s">
        <v>208</v>
      </c>
      <c r="AL33" s="43" t="s">
        <v>67</v>
      </c>
      <c r="AM33" s="43" t="s">
        <v>78</v>
      </c>
      <c r="AN33" s="43" t="s">
        <v>67</v>
      </c>
      <c r="AO33" s="43" t="s">
        <v>67</v>
      </c>
      <c r="AP33" s="43" t="s">
        <v>67</v>
      </c>
      <c r="AQ33" s="43" t="s">
        <v>67</v>
      </c>
      <c r="AR33" s="43" t="s">
        <v>67</v>
      </c>
      <c r="AS33" s="43" t="s">
        <v>242</v>
      </c>
      <c r="AT33" s="43" t="s">
        <v>67</v>
      </c>
      <c r="AU33" s="43" t="s">
        <v>263</v>
      </c>
      <c r="AV33" s="43" t="s">
        <v>264</v>
      </c>
      <c r="AW33" s="43" t="s">
        <v>239</v>
      </c>
      <c r="AX33" s="43" t="s">
        <v>133</v>
      </c>
      <c r="AY33" s="43" t="s">
        <v>67</v>
      </c>
      <c r="AZ33" s="43" t="s">
        <v>395</v>
      </c>
      <c r="BA33" s="43" t="s">
        <v>127</v>
      </c>
      <c r="BB33" s="43" t="s">
        <v>222</v>
      </c>
      <c r="BC33" s="43" t="s">
        <v>143</v>
      </c>
      <c r="BD33" s="43" t="s">
        <v>144</v>
      </c>
      <c r="BE33" s="43" t="s">
        <v>83</v>
      </c>
      <c r="BF33" s="43" t="s">
        <v>67</v>
      </c>
      <c r="BG33" s="43" t="s">
        <v>83</v>
      </c>
      <c r="BH33" s="43" t="s">
        <v>67</v>
      </c>
      <c r="BI33" s="43" t="s">
        <v>83</v>
      </c>
      <c r="BJ33" s="43" t="s">
        <v>67</v>
      </c>
      <c r="BK33" s="43" t="s">
        <v>120</v>
      </c>
      <c r="BL33" s="43" t="s">
        <v>300</v>
      </c>
      <c r="BM33" s="43" t="s">
        <v>415</v>
      </c>
      <c r="BN33" s="43" t="s">
        <v>67</v>
      </c>
      <c r="BO33" s="43" t="s">
        <v>67</v>
      </c>
      <c r="BP33" s="43" t="s">
        <v>67</v>
      </c>
      <c r="BQ33" s="43" t="s">
        <v>67</v>
      </c>
      <c r="BR33" s="68"/>
      <c r="BS33" s="43">
        <v>5</v>
      </c>
    </row>
    <row r="34" spans="1:71" ht="20.149999999999999" customHeight="1" x14ac:dyDescent="0.3">
      <c r="A34" s="57">
        <v>31</v>
      </c>
      <c r="B34" s="43" t="str">
        <f t="shared" si="0"/>
        <v>Oct_Release_FixedOrders_J9_COT_E2E_TOM_0031</v>
      </c>
      <c r="C34" s="43" t="s">
        <v>67</v>
      </c>
      <c r="D34" s="43" t="s">
        <v>67</v>
      </c>
      <c r="E34" s="43" t="s">
        <v>67</v>
      </c>
      <c r="F34" s="43" t="s">
        <v>68</v>
      </c>
      <c r="G34" s="43" t="str">
        <f t="shared" si="1"/>
        <v>A valid SSO SSJ Journey for COT Across NW</v>
      </c>
      <c r="H34" s="43" t="s">
        <v>69</v>
      </c>
      <c r="I34" s="43" t="s">
        <v>70</v>
      </c>
      <c r="J34" s="43" t="s">
        <v>71</v>
      </c>
      <c r="K34" s="43" t="s">
        <v>72</v>
      </c>
      <c r="L34" s="43" t="s">
        <v>63</v>
      </c>
      <c r="M34" s="43" t="s">
        <v>156</v>
      </c>
      <c r="N34" s="43" t="s">
        <v>157</v>
      </c>
      <c r="O34" s="43" t="s">
        <v>158</v>
      </c>
      <c r="P34" s="43" t="s">
        <v>159</v>
      </c>
      <c r="Q34" s="43" t="s">
        <v>123</v>
      </c>
      <c r="R34" s="43" t="s">
        <v>67</v>
      </c>
      <c r="S34" s="43" t="s">
        <v>83</v>
      </c>
      <c r="T34" s="43" t="s">
        <v>83</v>
      </c>
      <c r="U34" s="43" t="s">
        <v>83</v>
      </c>
      <c r="V34" s="43" t="s">
        <v>319</v>
      </c>
      <c r="W34" s="43" t="s">
        <v>74</v>
      </c>
      <c r="X34" s="43" t="s">
        <v>83</v>
      </c>
      <c r="Y34" s="43" t="s">
        <v>67</v>
      </c>
      <c r="Z34" s="43" t="s">
        <v>67</v>
      </c>
      <c r="AA34" s="43" t="s">
        <v>67</v>
      </c>
      <c r="AB34" s="43" t="s">
        <v>67</v>
      </c>
      <c r="AC34" s="43" t="s">
        <v>67</v>
      </c>
      <c r="AD34" s="43" t="s">
        <v>67</v>
      </c>
      <c r="AE34" s="43" t="s">
        <v>67</v>
      </c>
      <c r="AF34" s="43" t="s">
        <v>67</v>
      </c>
      <c r="AG34" s="43" t="s">
        <v>67</v>
      </c>
      <c r="AH34" s="43" t="s">
        <v>67</v>
      </c>
      <c r="AI34" s="43" t="s">
        <v>90</v>
      </c>
      <c r="AJ34" s="43" t="s">
        <v>74</v>
      </c>
      <c r="AK34" s="43" t="s">
        <v>266</v>
      </c>
      <c r="AL34" s="43" t="s">
        <v>67</v>
      </c>
      <c r="AM34" s="43" t="s">
        <v>78</v>
      </c>
      <c r="AN34" s="43" t="s">
        <v>67</v>
      </c>
      <c r="AO34" s="43" t="s">
        <v>67</v>
      </c>
      <c r="AP34" s="43" t="s">
        <v>67</v>
      </c>
      <c r="AQ34" s="43" t="s">
        <v>67</v>
      </c>
      <c r="AR34" s="43" t="s">
        <v>67</v>
      </c>
      <c r="AS34" s="43" t="s">
        <v>242</v>
      </c>
      <c r="AT34" s="43" t="s">
        <v>67</v>
      </c>
      <c r="AU34" s="43" t="s">
        <v>76</v>
      </c>
      <c r="AV34" s="43" t="s">
        <v>243</v>
      </c>
      <c r="AW34" s="43" t="s">
        <v>267</v>
      </c>
      <c r="AX34" s="43" t="s">
        <v>79</v>
      </c>
      <c r="AY34" s="43" t="s">
        <v>67</v>
      </c>
      <c r="AZ34" s="43" t="s">
        <v>67</v>
      </c>
      <c r="BA34" s="43" t="s">
        <v>67</v>
      </c>
      <c r="BB34" s="43" t="s">
        <v>67</v>
      </c>
      <c r="BC34" s="43" t="s">
        <v>67</v>
      </c>
      <c r="BD34" s="43" t="s">
        <v>186</v>
      </c>
      <c r="BE34" s="43" t="s">
        <v>83</v>
      </c>
      <c r="BF34" s="43" t="s">
        <v>67</v>
      </c>
      <c r="BG34" s="43" t="s">
        <v>83</v>
      </c>
      <c r="BH34" s="43" t="s">
        <v>67</v>
      </c>
      <c r="BI34" s="43" t="s">
        <v>83</v>
      </c>
      <c r="BJ34" s="43" t="s">
        <v>67</v>
      </c>
      <c r="BK34" s="43" t="s">
        <v>100</v>
      </c>
      <c r="BL34" s="43" t="s">
        <v>300</v>
      </c>
      <c r="BM34" s="43" t="s">
        <v>415</v>
      </c>
      <c r="BN34" s="43" t="s">
        <v>67</v>
      </c>
      <c r="BO34" s="43" t="s">
        <v>67</v>
      </c>
      <c r="BP34" s="43" t="s">
        <v>67</v>
      </c>
      <c r="BQ34" s="43" t="s">
        <v>67</v>
      </c>
      <c r="BR34" s="68"/>
      <c r="BS34" s="43">
        <v>5</v>
      </c>
    </row>
    <row r="35" spans="1:71" ht="20.149999999999999" customHeight="1" x14ac:dyDescent="0.3">
      <c r="A35" s="55">
        <v>32</v>
      </c>
      <c r="B35" s="37" t="str">
        <f t="shared" si="0"/>
        <v>Oct_Release_FixedOrders_J9_COT_E2E_TOM_0032</v>
      </c>
      <c r="C35" s="37" t="s">
        <v>67</v>
      </c>
      <c r="D35" s="37" t="s">
        <v>67</v>
      </c>
      <c r="E35" s="37" t="s">
        <v>68</v>
      </c>
      <c r="F35" s="37" t="s">
        <v>67</v>
      </c>
      <c r="G35" s="37" t="str">
        <f t="shared" si="1"/>
        <v>A valid SSO SSJ Journey for COT Across NW</v>
      </c>
      <c r="H35" s="37" t="s">
        <v>70</v>
      </c>
      <c r="I35" s="37" t="s">
        <v>69</v>
      </c>
      <c r="J35" s="37" t="s">
        <v>71</v>
      </c>
      <c r="K35" s="37" t="s">
        <v>72</v>
      </c>
      <c r="L35" s="37" t="s">
        <v>91</v>
      </c>
      <c r="M35" s="37" t="s">
        <v>165</v>
      </c>
      <c r="N35" s="37" t="s">
        <v>118</v>
      </c>
      <c r="O35" s="37" t="s">
        <v>207</v>
      </c>
      <c r="P35" s="37" t="s">
        <v>202</v>
      </c>
      <c r="Q35" s="37" t="s">
        <v>123</v>
      </c>
      <c r="R35" s="37" t="s">
        <v>67</v>
      </c>
      <c r="S35" s="37" t="s">
        <v>370</v>
      </c>
      <c r="T35" s="37" t="s">
        <v>372</v>
      </c>
      <c r="U35" s="37" t="s">
        <v>83</v>
      </c>
      <c r="V35" s="37" t="s">
        <v>134</v>
      </c>
      <c r="W35" s="37" t="s">
        <v>82</v>
      </c>
      <c r="X35" s="37" t="s">
        <v>83</v>
      </c>
      <c r="Y35" s="37" t="s">
        <v>280</v>
      </c>
      <c r="Z35" s="37" t="s">
        <v>70</v>
      </c>
      <c r="AA35" s="37" t="s">
        <v>67</v>
      </c>
      <c r="AB35" s="37" t="s">
        <v>103</v>
      </c>
      <c r="AC35" s="37" t="s">
        <v>67</v>
      </c>
      <c r="AD35" s="37" t="s">
        <v>86</v>
      </c>
      <c r="AE35" s="37" t="s">
        <v>87</v>
      </c>
      <c r="AF35" s="37" t="s">
        <v>86</v>
      </c>
      <c r="AG35" s="37" t="s">
        <v>138</v>
      </c>
      <c r="AH35" s="37" t="s">
        <v>89</v>
      </c>
      <c r="AI35" s="37" t="s">
        <v>90</v>
      </c>
      <c r="AJ35" s="37" t="s">
        <v>82</v>
      </c>
      <c r="AK35" s="37" t="s">
        <v>81</v>
      </c>
      <c r="AL35" s="37" t="s">
        <v>67</v>
      </c>
      <c r="AM35" s="37" t="s">
        <v>122</v>
      </c>
      <c r="AN35" s="37" t="s">
        <v>67</v>
      </c>
      <c r="AO35" s="37" t="s">
        <v>67</v>
      </c>
      <c r="AP35" s="37" t="s">
        <v>67</v>
      </c>
      <c r="AQ35" s="37" t="s">
        <v>67</v>
      </c>
      <c r="AR35" s="37" t="s">
        <v>67</v>
      </c>
      <c r="AS35" s="37" t="s">
        <v>269</v>
      </c>
      <c r="AT35" s="37" t="s">
        <v>67</v>
      </c>
      <c r="AU35" s="37" t="s">
        <v>109</v>
      </c>
      <c r="AV35" s="37" t="s">
        <v>145</v>
      </c>
      <c r="AW35" s="37" t="s">
        <v>146</v>
      </c>
      <c r="AX35" s="37" t="s">
        <v>123</v>
      </c>
      <c r="AY35" s="37" t="s">
        <v>67</v>
      </c>
      <c r="AZ35" s="37" t="s">
        <v>67</v>
      </c>
      <c r="BA35" s="37" t="s">
        <v>152</v>
      </c>
      <c r="BB35" s="37" t="s">
        <v>70</v>
      </c>
      <c r="BC35" s="37" t="s">
        <v>125</v>
      </c>
      <c r="BD35" s="37" t="s">
        <v>126</v>
      </c>
      <c r="BE35" s="37" t="s">
        <v>383</v>
      </c>
      <c r="BF35" s="37" t="s">
        <v>67</v>
      </c>
      <c r="BG35" s="37" t="s">
        <v>432</v>
      </c>
      <c r="BH35" s="37" t="s">
        <v>387</v>
      </c>
      <c r="BI35" s="37" t="s">
        <v>390</v>
      </c>
      <c r="BJ35" s="37" t="s">
        <v>387</v>
      </c>
      <c r="BK35" s="37" t="s">
        <v>100</v>
      </c>
      <c r="BL35" s="37" t="s">
        <v>300</v>
      </c>
      <c r="BM35" s="37" t="s">
        <v>415</v>
      </c>
      <c r="BN35" s="37" t="s">
        <v>67</v>
      </c>
      <c r="BO35" s="37" t="s">
        <v>153</v>
      </c>
      <c r="BP35" s="37" t="s">
        <v>154</v>
      </c>
      <c r="BQ35" s="37" t="s">
        <v>155</v>
      </c>
      <c r="BR35" s="68"/>
      <c r="BS35" s="37">
        <v>5</v>
      </c>
    </row>
    <row r="36" spans="1:71" ht="20.149999999999999" customHeight="1" x14ac:dyDescent="0.3">
      <c r="A36" s="55">
        <v>33</v>
      </c>
      <c r="B36" s="37" t="str">
        <f t="shared" si="0"/>
        <v>Oct_Release_FixedOrders_J9_COT_E2E_TOM_0033</v>
      </c>
      <c r="C36" s="37" t="s">
        <v>67</v>
      </c>
      <c r="D36" s="37" t="s">
        <v>67</v>
      </c>
      <c r="E36" s="37" t="s">
        <v>68</v>
      </c>
      <c r="F36" s="37" t="s">
        <v>67</v>
      </c>
      <c r="G36" s="37" t="str">
        <f t="shared" si="1"/>
        <v>A valid SSO SSJ Journey for COT Across NW - Service Transfer</v>
      </c>
      <c r="H36" s="37" t="s">
        <v>69</v>
      </c>
      <c r="I36" s="37" t="s">
        <v>70</v>
      </c>
      <c r="J36" s="37" t="s">
        <v>71</v>
      </c>
      <c r="K36" s="37" t="s">
        <v>72</v>
      </c>
      <c r="L36" s="37" t="s">
        <v>74</v>
      </c>
      <c r="M36" s="37" t="s">
        <v>323</v>
      </c>
      <c r="N36" s="37" t="s">
        <v>76</v>
      </c>
      <c r="O36" s="37" t="s">
        <v>327</v>
      </c>
      <c r="P36" s="37" t="s">
        <v>255</v>
      </c>
      <c r="Q36" s="37" t="s">
        <v>79</v>
      </c>
      <c r="R36" s="37" t="s">
        <v>67</v>
      </c>
      <c r="S36" s="37" t="s">
        <v>83</v>
      </c>
      <c r="T36" s="37" t="s">
        <v>83</v>
      </c>
      <c r="U36" s="37" t="s">
        <v>83</v>
      </c>
      <c r="V36" s="37" t="s">
        <v>80</v>
      </c>
      <c r="W36" s="37" t="s">
        <v>82</v>
      </c>
      <c r="X36" s="37" t="s">
        <v>83</v>
      </c>
      <c r="Y36" s="37" t="s">
        <v>67</v>
      </c>
      <c r="Z36" s="37" t="s">
        <v>69</v>
      </c>
      <c r="AA36" s="37" t="s">
        <v>67</v>
      </c>
      <c r="AB36" s="37" t="s">
        <v>112</v>
      </c>
      <c r="AC36" s="37" t="s">
        <v>67</v>
      </c>
      <c r="AD36" s="37" t="s">
        <v>270</v>
      </c>
      <c r="AE36" s="37" t="s">
        <v>271</v>
      </c>
      <c r="AF36" s="37" t="s">
        <v>270</v>
      </c>
      <c r="AG36" s="37" t="s">
        <v>162</v>
      </c>
      <c r="AH36" s="37" t="s">
        <v>117</v>
      </c>
      <c r="AI36" s="37" t="s">
        <v>340</v>
      </c>
      <c r="AJ36" s="37" t="s">
        <v>82</v>
      </c>
      <c r="AK36" s="37" t="s">
        <v>81</v>
      </c>
      <c r="AL36" s="37" t="s">
        <v>67</v>
      </c>
      <c r="AM36" s="37" t="s">
        <v>108</v>
      </c>
      <c r="AN36" s="37" t="s">
        <v>67</v>
      </c>
      <c r="AO36" s="37" t="s">
        <v>67</v>
      </c>
      <c r="AP36" s="37" t="s">
        <v>67</v>
      </c>
      <c r="AQ36" s="37" t="s">
        <v>67</v>
      </c>
      <c r="AR36" s="37" t="s">
        <v>67</v>
      </c>
      <c r="AS36" s="37" t="s">
        <v>272</v>
      </c>
      <c r="AT36" s="37" t="s">
        <v>67</v>
      </c>
      <c r="AU36" s="37" t="s">
        <v>109</v>
      </c>
      <c r="AV36" s="37" t="s">
        <v>273</v>
      </c>
      <c r="AW36" s="37" t="s">
        <v>202</v>
      </c>
      <c r="AX36" s="37" t="s">
        <v>79</v>
      </c>
      <c r="AY36" s="37" t="s">
        <v>67</v>
      </c>
      <c r="AZ36" s="37" t="s">
        <v>67</v>
      </c>
      <c r="BA36" s="37" t="s">
        <v>67</v>
      </c>
      <c r="BB36" s="37" t="s">
        <v>67</v>
      </c>
      <c r="BC36" s="37" t="s">
        <v>67</v>
      </c>
      <c r="BD36" s="37" t="s">
        <v>67</v>
      </c>
      <c r="BE36" s="37" t="s">
        <v>83</v>
      </c>
      <c r="BF36" s="37" t="s">
        <v>67</v>
      </c>
      <c r="BG36" s="37" t="s">
        <v>83</v>
      </c>
      <c r="BH36" s="37" t="s">
        <v>67</v>
      </c>
      <c r="BI36" s="37" t="s">
        <v>83</v>
      </c>
      <c r="BJ36" s="37" t="s">
        <v>67</v>
      </c>
      <c r="BK36" s="37" t="s">
        <v>120</v>
      </c>
      <c r="BL36" s="37" t="s">
        <v>300</v>
      </c>
      <c r="BM36" s="37" t="s">
        <v>415</v>
      </c>
      <c r="BN36" s="37" t="s">
        <v>67</v>
      </c>
      <c r="BO36" s="37" t="s">
        <v>67</v>
      </c>
      <c r="BP36" s="37" t="s">
        <v>67</v>
      </c>
      <c r="BQ36" s="37" t="s">
        <v>67</v>
      </c>
      <c r="BR36" s="68"/>
      <c r="BS36" s="37">
        <v>5</v>
      </c>
    </row>
    <row r="37" spans="1:71" ht="20.149999999999999" customHeight="1" x14ac:dyDescent="0.3">
      <c r="A37" s="55">
        <v>34</v>
      </c>
      <c r="B37" s="37" t="str">
        <f t="shared" si="0"/>
        <v>Oct_Release_FixedOrders_J9_COT_E2E_TOM_0034</v>
      </c>
      <c r="C37" s="37" t="s">
        <v>67</v>
      </c>
      <c r="D37" s="37" t="s">
        <v>67</v>
      </c>
      <c r="E37" s="37" t="s">
        <v>67</v>
      </c>
      <c r="F37" s="37" t="s">
        <v>68</v>
      </c>
      <c r="G37" s="37" t="str">
        <f t="shared" si="1"/>
        <v>A valid SSO SSJ Journey for COT Across NW</v>
      </c>
      <c r="H37" s="37" t="s">
        <v>69</v>
      </c>
      <c r="I37" s="37" t="s">
        <v>70</v>
      </c>
      <c r="J37" s="37" t="s">
        <v>71</v>
      </c>
      <c r="K37" s="37" t="s">
        <v>72</v>
      </c>
      <c r="L37" s="37" t="s">
        <v>63</v>
      </c>
      <c r="M37" s="37" t="s">
        <v>129</v>
      </c>
      <c r="N37" s="37" t="s">
        <v>130</v>
      </c>
      <c r="O37" s="37" t="s">
        <v>131</v>
      </c>
      <c r="P37" s="37" t="s">
        <v>132</v>
      </c>
      <c r="Q37" s="37" t="s">
        <v>133</v>
      </c>
      <c r="R37" s="37" t="s">
        <v>67</v>
      </c>
      <c r="S37" s="37" t="s">
        <v>83</v>
      </c>
      <c r="T37" s="37" t="s">
        <v>83</v>
      </c>
      <c r="U37" s="37" t="s">
        <v>83</v>
      </c>
      <c r="V37" s="37" t="s">
        <v>317</v>
      </c>
      <c r="W37" s="37" t="s">
        <v>82</v>
      </c>
      <c r="X37" s="37" t="s">
        <v>83</v>
      </c>
      <c r="Y37" s="37" t="s">
        <v>268</v>
      </c>
      <c r="Z37" s="37" t="s">
        <v>70</v>
      </c>
      <c r="AA37" s="37" t="s">
        <v>67</v>
      </c>
      <c r="AB37" s="37" t="s">
        <v>275</v>
      </c>
      <c r="AC37" s="37" t="s">
        <v>67</v>
      </c>
      <c r="AD37" s="37" t="s">
        <v>276</v>
      </c>
      <c r="AE37" s="37" t="s">
        <v>87</v>
      </c>
      <c r="AF37" s="37" t="s">
        <v>276</v>
      </c>
      <c r="AG37" s="37" t="s">
        <v>138</v>
      </c>
      <c r="AH37" s="37" t="s">
        <v>89</v>
      </c>
      <c r="AI37" s="37" t="s">
        <v>90</v>
      </c>
      <c r="AJ37" s="37" t="s">
        <v>82</v>
      </c>
      <c r="AK37" s="37" t="s">
        <v>81</v>
      </c>
      <c r="AL37" s="37" t="s">
        <v>67</v>
      </c>
      <c r="AM37" s="37" t="s">
        <v>92</v>
      </c>
      <c r="AN37" s="37" t="s">
        <v>67</v>
      </c>
      <c r="AO37" s="37" t="s">
        <v>67</v>
      </c>
      <c r="AP37" s="37" t="s">
        <v>67</v>
      </c>
      <c r="AQ37" s="37" t="s">
        <v>67</v>
      </c>
      <c r="AR37" s="37" t="s">
        <v>67</v>
      </c>
      <c r="AS37" s="37" t="s">
        <v>277</v>
      </c>
      <c r="AT37" s="37" t="s">
        <v>67</v>
      </c>
      <c r="AU37" s="37" t="s">
        <v>257</v>
      </c>
      <c r="AV37" s="37" t="s">
        <v>258</v>
      </c>
      <c r="AW37" s="37" t="s">
        <v>108</v>
      </c>
      <c r="AX37" s="37" t="s">
        <v>123</v>
      </c>
      <c r="AY37" s="37" t="s">
        <v>274</v>
      </c>
      <c r="AZ37" s="37" t="s">
        <v>67</v>
      </c>
      <c r="BA37" s="37" t="s">
        <v>127</v>
      </c>
      <c r="BB37" s="37" t="s">
        <v>70</v>
      </c>
      <c r="BC37" s="37" t="s">
        <v>143</v>
      </c>
      <c r="BD37" s="37" t="s">
        <v>144</v>
      </c>
      <c r="BE37" s="37" t="s">
        <v>384</v>
      </c>
      <c r="BF37" s="37" t="str">
        <f>BA37</f>
        <v>Instock</v>
      </c>
      <c r="BG37" s="37" t="s">
        <v>83</v>
      </c>
      <c r="BH37" s="37" t="s">
        <v>67</v>
      </c>
      <c r="BI37" s="37" t="s">
        <v>83</v>
      </c>
      <c r="BJ37" s="37" t="s">
        <v>67</v>
      </c>
      <c r="BK37" s="37" t="s">
        <v>120</v>
      </c>
      <c r="BL37" s="37" t="s">
        <v>300</v>
      </c>
      <c r="BM37" s="37" t="s">
        <v>415</v>
      </c>
      <c r="BN37" s="37" t="s">
        <v>67</v>
      </c>
      <c r="BO37" s="37" t="s">
        <v>67</v>
      </c>
      <c r="BP37" s="37" t="s">
        <v>67</v>
      </c>
      <c r="BQ37" s="37" t="s">
        <v>67</v>
      </c>
      <c r="BR37" s="68"/>
      <c r="BS37" s="37">
        <v>5</v>
      </c>
    </row>
    <row r="38" spans="1:71" ht="20.149999999999999" customHeight="1" x14ac:dyDescent="0.3">
      <c r="A38" s="55">
        <v>35</v>
      </c>
      <c r="B38" s="37" t="str">
        <f t="shared" si="0"/>
        <v>Oct_Release_FixedOrders_J9_COT_E2E_TOM_0035</v>
      </c>
      <c r="C38" s="37" t="s">
        <v>67</v>
      </c>
      <c r="D38" s="37" t="s">
        <v>67</v>
      </c>
      <c r="E38" s="37" t="s">
        <v>67</v>
      </c>
      <c r="F38" s="37" t="s">
        <v>68</v>
      </c>
      <c r="G38" s="37" t="str">
        <f t="shared" si="1"/>
        <v>A valid SSO SSJ Journey for COT Across NW -Internal Loss (Legacy iiNET to VF(iiNet to VHA)</v>
      </c>
      <c r="H38" s="37" t="s">
        <v>70</v>
      </c>
      <c r="I38" s="37" t="s">
        <v>69</v>
      </c>
      <c r="J38" s="37" t="s">
        <v>71</v>
      </c>
      <c r="K38" s="37" t="s">
        <v>72</v>
      </c>
      <c r="L38" s="37" t="s">
        <v>63</v>
      </c>
      <c r="M38" s="37" t="s">
        <v>156</v>
      </c>
      <c r="N38" s="37" t="s">
        <v>157</v>
      </c>
      <c r="O38" s="37" t="s">
        <v>177</v>
      </c>
      <c r="P38" s="37" t="s">
        <v>178</v>
      </c>
      <c r="Q38" s="37" t="s">
        <v>123</v>
      </c>
      <c r="R38" s="37" t="s">
        <v>67</v>
      </c>
      <c r="S38" s="37" t="s">
        <v>83</v>
      </c>
      <c r="T38" s="37" t="s">
        <v>83</v>
      </c>
      <c r="U38" s="37" t="s">
        <v>83</v>
      </c>
      <c r="V38" s="37" t="s">
        <v>333</v>
      </c>
      <c r="W38" s="37" t="s">
        <v>82</v>
      </c>
      <c r="X38" s="37" t="s">
        <v>83</v>
      </c>
      <c r="Y38" s="37" t="s">
        <v>67</v>
      </c>
      <c r="Z38" s="37" t="s">
        <v>69</v>
      </c>
      <c r="AA38" s="37" t="s">
        <v>67</v>
      </c>
      <c r="AB38" s="37" t="s">
        <v>112</v>
      </c>
      <c r="AC38" s="37" t="s">
        <v>67</v>
      </c>
      <c r="AD38" s="37" t="s">
        <v>270</v>
      </c>
      <c r="AE38" s="37" t="s">
        <v>271</v>
      </c>
      <c r="AF38" s="37" t="s">
        <v>270</v>
      </c>
      <c r="AG38" s="37" t="s">
        <v>162</v>
      </c>
      <c r="AH38" s="37" t="s">
        <v>343</v>
      </c>
      <c r="AI38" s="37" t="s">
        <v>355</v>
      </c>
      <c r="AJ38" s="37" t="s">
        <v>82</v>
      </c>
      <c r="AK38" s="37" t="s">
        <v>81</v>
      </c>
      <c r="AL38" s="37" t="s">
        <v>67</v>
      </c>
      <c r="AM38" s="37" t="s">
        <v>108</v>
      </c>
      <c r="AN38" s="37" t="s">
        <v>67</v>
      </c>
      <c r="AO38" s="37" t="s">
        <v>67</v>
      </c>
      <c r="AP38" s="37" t="s">
        <v>67</v>
      </c>
      <c r="AQ38" s="37" t="s">
        <v>67</v>
      </c>
      <c r="AR38" s="37" t="s">
        <v>67</v>
      </c>
      <c r="AS38" s="37" t="s">
        <v>272</v>
      </c>
      <c r="AT38" s="37" t="s">
        <v>67</v>
      </c>
      <c r="AU38" s="37" t="s">
        <v>109</v>
      </c>
      <c r="AV38" s="37" t="s">
        <v>121</v>
      </c>
      <c r="AW38" s="37" t="s">
        <v>122</v>
      </c>
      <c r="AX38" s="37" t="s">
        <v>79</v>
      </c>
      <c r="AY38" s="37" t="s">
        <v>67</v>
      </c>
      <c r="AZ38" s="37" t="s">
        <v>67</v>
      </c>
      <c r="BA38" s="37" t="s">
        <v>67</v>
      </c>
      <c r="BB38" s="37" t="s">
        <v>67</v>
      </c>
      <c r="BC38" s="37" t="s">
        <v>67</v>
      </c>
      <c r="BD38" s="37" t="s">
        <v>186</v>
      </c>
      <c r="BE38" s="37" t="s">
        <v>83</v>
      </c>
      <c r="BF38" s="37" t="s">
        <v>67</v>
      </c>
      <c r="BG38" s="37" t="s">
        <v>83</v>
      </c>
      <c r="BH38" s="37" t="s">
        <v>67</v>
      </c>
      <c r="BI38" s="37" t="s">
        <v>83</v>
      </c>
      <c r="BJ38" s="37" t="s">
        <v>67</v>
      </c>
      <c r="BK38" s="37" t="s">
        <v>100</v>
      </c>
      <c r="BL38" s="37" t="s">
        <v>300</v>
      </c>
      <c r="BM38" s="37" t="s">
        <v>415</v>
      </c>
      <c r="BN38" s="37" t="s">
        <v>67</v>
      </c>
      <c r="BO38" s="37" t="s">
        <v>67</v>
      </c>
      <c r="BP38" s="37" t="s">
        <v>67</v>
      </c>
      <c r="BQ38" s="37" t="s">
        <v>67</v>
      </c>
      <c r="BR38" s="68"/>
      <c r="BS38" s="37">
        <v>5</v>
      </c>
    </row>
    <row r="39" spans="1:71" ht="20.149999999999999" customHeight="1" x14ac:dyDescent="0.3">
      <c r="A39" s="55">
        <v>36</v>
      </c>
      <c r="B39" s="37" t="str">
        <f t="shared" si="0"/>
        <v>Oct_Release_FixedOrders_J9_COT_E2E_TOM_0036</v>
      </c>
      <c r="C39" s="37" t="s">
        <v>67</v>
      </c>
      <c r="D39" s="37" t="s">
        <v>67</v>
      </c>
      <c r="E39" s="37" t="s">
        <v>68</v>
      </c>
      <c r="F39" s="37" t="s">
        <v>67</v>
      </c>
      <c r="G39" s="37" t="str">
        <f t="shared" si="1"/>
        <v>A valid SSO SSJ Journey for COT Across NW</v>
      </c>
      <c r="H39" s="37" t="s">
        <v>70</v>
      </c>
      <c r="I39" s="37" t="s">
        <v>69</v>
      </c>
      <c r="J39" s="37" t="s">
        <v>71</v>
      </c>
      <c r="K39" s="37" t="s">
        <v>72</v>
      </c>
      <c r="L39" s="37" t="s">
        <v>74</v>
      </c>
      <c r="M39" s="37" t="s">
        <v>328</v>
      </c>
      <c r="N39" s="37" t="s">
        <v>76</v>
      </c>
      <c r="O39" s="37" t="s">
        <v>188</v>
      </c>
      <c r="P39" s="37" t="s">
        <v>189</v>
      </c>
      <c r="Q39" s="37" t="s">
        <v>79</v>
      </c>
      <c r="R39" s="37" t="s">
        <v>67</v>
      </c>
      <c r="S39" s="37" t="s">
        <v>83</v>
      </c>
      <c r="T39" s="37" t="s">
        <v>83</v>
      </c>
      <c r="U39" s="37" t="s">
        <v>83</v>
      </c>
      <c r="V39" s="37" t="s">
        <v>252</v>
      </c>
      <c r="W39" s="37" t="s">
        <v>82</v>
      </c>
      <c r="X39" s="37" t="s">
        <v>83</v>
      </c>
      <c r="Y39" s="37" t="s">
        <v>67</v>
      </c>
      <c r="Z39" s="37" t="s">
        <v>69</v>
      </c>
      <c r="AA39" s="37" t="s">
        <v>67</v>
      </c>
      <c r="AB39" s="37" t="s">
        <v>199</v>
      </c>
      <c r="AC39" s="37" t="s">
        <v>67</v>
      </c>
      <c r="AD39" s="37" t="s">
        <v>276</v>
      </c>
      <c r="AE39" s="37" t="s">
        <v>87</v>
      </c>
      <c r="AF39" s="37" t="s">
        <v>276</v>
      </c>
      <c r="AG39" s="37" t="s">
        <v>138</v>
      </c>
      <c r="AH39" s="37" t="s">
        <v>89</v>
      </c>
      <c r="AI39" s="37" t="s">
        <v>90</v>
      </c>
      <c r="AJ39" s="37" t="s">
        <v>82</v>
      </c>
      <c r="AK39" s="37" t="s">
        <v>81</v>
      </c>
      <c r="AL39" s="37" t="s">
        <v>67</v>
      </c>
      <c r="AM39" s="37" t="s">
        <v>108</v>
      </c>
      <c r="AN39" s="37" t="s">
        <v>67</v>
      </c>
      <c r="AO39" s="37" t="s">
        <v>67</v>
      </c>
      <c r="AP39" s="37" t="s">
        <v>67</v>
      </c>
      <c r="AQ39" s="37" t="s">
        <v>67</v>
      </c>
      <c r="AR39" s="37" t="s">
        <v>67</v>
      </c>
      <c r="AS39" s="37" t="s">
        <v>272</v>
      </c>
      <c r="AT39" s="37" t="s">
        <v>67</v>
      </c>
      <c r="AU39" s="37" t="s">
        <v>109</v>
      </c>
      <c r="AV39" s="37" t="s">
        <v>121</v>
      </c>
      <c r="AW39" s="37" t="s">
        <v>122</v>
      </c>
      <c r="AX39" s="37" t="s">
        <v>123</v>
      </c>
      <c r="AY39" s="37" t="s">
        <v>67</v>
      </c>
      <c r="AZ39" s="37" t="s">
        <v>67</v>
      </c>
      <c r="BA39" s="37" t="s">
        <v>127</v>
      </c>
      <c r="BB39" s="37" t="s">
        <v>70</v>
      </c>
      <c r="BC39" s="37" t="s">
        <v>143</v>
      </c>
      <c r="BD39" s="37" t="s">
        <v>195</v>
      </c>
      <c r="BE39" s="37" t="s">
        <v>83</v>
      </c>
      <c r="BF39" s="37" t="s">
        <v>67</v>
      </c>
      <c r="BG39" s="37" t="s">
        <v>83</v>
      </c>
      <c r="BH39" s="37" t="s">
        <v>67</v>
      </c>
      <c r="BI39" s="37" t="s">
        <v>83</v>
      </c>
      <c r="BJ39" s="37" t="s">
        <v>67</v>
      </c>
      <c r="BK39" s="37" t="s">
        <v>100</v>
      </c>
      <c r="BL39" s="37" t="s">
        <v>300</v>
      </c>
      <c r="BM39" s="37" t="s">
        <v>415</v>
      </c>
      <c r="BN39" s="37" t="s">
        <v>67</v>
      </c>
      <c r="BO39" s="37" t="s">
        <v>67</v>
      </c>
      <c r="BP39" s="37" t="s">
        <v>67</v>
      </c>
      <c r="BQ39" s="37" t="s">
        <v>67</v>
      </c>
      <c r="BR39" s="69"/>
      <c r="BS39" s="37">
        <v>5</v>
      </c>
    </row>
  </sheetData>
  <mergeCells count="74">
    <mergeCell ref="S1:S3"/>
    <mergeCell ref="BG1:BG3"/>
    <mergeCell ref="T1:T3"/>
    <mergeCell ref="U1:U3"/>
    <mergeCell ref="BE1:BE3"/>
    <mergeCell ref="BF1:BF3"/>
    <mergeCell ref="AK1:AK3"/>
    <mergeCell ref="Y1:Y3"/>
    <mergeCell ref="Z1:Z3"/>
    <mergeCell ref="AB1:AB3"/>
    <mergeCell ref="AC1:AC3"/>
    <mergeCell ref="AD1:AD3"/>
    <mergeCell ref="AE1:AE3"/>
    <mergeCell ref="AA1:AA3"/>
    <mergeCell ref="AF1:AF3"/>
    <mergeCell ref="AG1:AG3"/>
    <mergeCell ref="I2:I3"/>
    <mergeCell ref="C1:F1"/>
    <mergeCell ref="G1:I1"/>
    <mergeCell ref="D2:D3"/>
    <mergeCell ref="E2:E3"/>
    <mergeCell ref="F2:F3"/>
    <mergeCell ref="G2:G3"/>
    <mergeCell ref="A1:A3"/>
    <mergeCell ref="B1:B3"/>
    <mergeCell ref="J1:J3"/>
    <mergeCell ref="X1:X3"/>
    <mergeCell ref="L1:L3"/>
    <mergeCell ref="M1:M3"/>
    <mergeCell ref="N1:N3"/>
    <mergeCell ref="O1:O3"/>
    <mergeCell ref="P1:P3"/>
    <mergeCell ref="Q1:Q3"/>
    <mergeCell ref="R1:R3"/>
    <mergeCell ref="V1:V3"/>
    <mergeCell ref="W1:W3"/>
    <mergeCell ref="C2:C3"/>
    <mergeCell ref="K1:K3"/>
    <mergeCell ref="H2:H3"/>
    <mergeCell ref="AH1:AH3"/>
    <mergeCell ref="AI1:AI3"/>
    <mergeCell ref="AJ1:AJ3"/>
    <mergeCell ref="AW1:AW3"/>
    <mergeCell ref="AL1:AL3"/>
    <mergeCell ref="AM1:AM3"/>
    <mergeCell ref="AN1:AN3"/>
    <mergeCell ref="AO1:AO3"/>
    <mergeCell ref="AP1:AP3"/>
    <mergeCell ref="AQ1:AQ3"/>
    <mergeCell ref="AR1:AR3"/>
    <mergeCell ref="AS1:AS3"/>
    <mergeCell ref="AT1:AT3"/>
    <mergeCell ref="AU1:AU3"/>
    <mergeCell ref="AV1:AV3"/>
    <mergeCell ref="BO1:BO3"/>
    <mergeCell ref="AX1:AX3"/>
    <mergeCell ref="AY1:AY3"/>
    <mergeCell ref="AZ1:AZ3"/>
    <mergeCell ref="BA1:BA3"/>
    <mergeCell ref="BB1:BB3"/>
    <mergeCell ref="BC1:BC3"/>
    <mergeCell ref="BD1:BD3"/>
    <mergeCell ref="BK1:BK3"/>
    <mergeCell ref="BL1:BL3"/>
    <mergeCell ref="BM1:BM3"/>
    <mergeCell ref="BN1:BN3"/>
    <mergeCell ref="BI1:BI3"/>
    <mergeCell ref="BH1:BH3"/>
    <mergeCell ref="BJ1:BJ3"/>
    <mergeCell ref="BR4:BR39"/>
    <mergeCell ref="BP1:BP3"/>
    <mergeCell ref="BQ1:BQ3"/>
    <mergeCell ref="BR1:BR3"/>
    <mergeCell ref="BS1:BS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3C7B4-33B2-4BFA-A952-742EB319AF2B}">
  <dimension ref="A1:H12"/>
  <sheetViews>
    <sheetView zoomScale="70" zoomScaleNormal="70" workbookViewId="0">
      <selection activeCell="C17" sqref="C17"/>
    </sheetView>
  </sheetViews>
  <sheetFormatPr defaultRowHeight="14.5" x14ac:dyDescent="0.35"/>
  <cols>
    <col min="1" max="1" width="5.54296875" style="47" customWidth="1"/>
    <col min="2" max="2" width="68.90625" style="48" customWidth="1"/>
    <col min="3" max="3" width="13.54296875" style="48" customWidth="1"/>
    <col min="4" max="4" width="22.26953125" style="47" customWidth="1"/>
    <col min="5" max="5" width="90.08984375" style="48" customWidth="1"/>
    <col min="6" max="7" width="8.7265625" style="48"/>
    <col min="8" max="8" width="24" style="48" customWidth="1"/>
    <col min="9" max="16384" width="8.7265625" style="48"/>
  </cols>
  <sheetData>
    <row r="1" spans="1:8" s="46" customFormat="1" x14ac:dyDescent="0.35">
      <c r="A1" s="49" t="s">
        <v>0</v>
      </c>
      <c r="B1" s="49" t="s">
        <v>396</v>
      </c>
      <c r="C1" s="49" t="s">
        <v>397</v>
      </c>
      <c r="D1" s="49" t="s">
        <v>398</v>
      </c>
      <c r="E1" s="49" t="s">
        <v>419</v>
      </c>
      <c r="F1" s="49" t="s">
        <v>399</v>
      </c>
      <c r="G1" s="49" t="s">
        <v>400</v>
      </c>
      <c r="H1" s="49" t="s">
        <v>401</v>
      </c>
    </row>
    <row r="2" spans="1:8" x14ac:dyDescent="0.35">
      <c r="A2" s="50">
        <v>1</v>
      </c>
      <c r="B2" s="50" t="s">
        <v>406</v>
      </c>
      <c r="C2" s="50" t="s">
        <v>402</v>
      </c>
      <c r="D2" s="51">
        <v>46269</v>
      </c>
      <c r="E2" s="50" t="s">
        <v>403</v>
      </c>
      <c r="F2" s="50" t="s">
        <v>404</v>
      </c>
      <c r="G2" s="50" t="s">
        <v>405</v>
      </c>
      <c r="H2" s="50" t="s">
        <v>620</v>
      </c>
    </row>
    <row r="3" spans="1:8" x14ac:dyDescent="0.35">
      <c r="A3" s="50">
        <v>2</v>
      </c>
      <c r="B3" s="50" t="s">
        <v>407</v>
      </c>
      <c r="C3" s="50" t="s">
        <v>402</v>
      </c>
      <c r="D3" s="51">
        <v>46269</v>
      </c>
      <c r="E3" s="50" t="s">
        <v>408</v>
      </c>
      <c r="F3" s="50" t="s">
        <v>409</v>
      </c>
      <c r="G3" s="50" t="s">
        <v>405</v>
      </c>
      <c r="H3" s="50" t="s">
        <v>410</v>
      </c>
    </row>
    <row r="4" spans="1:8" x14ac:dyDescent="0.35">
      <c r="A4" s="50">
        <v>3</v>
      </c>
      <c r="B4" s="50" t="s">
        <v>411</v>
      </c>
      <c r="C4" s="50" t="s">
        <v>412</v>
      </c>
      <c r="D4" s="51">
        <v>46269</v>
      </c>
      <c r="E4" s="50" t="s">
        <v>416</v>
      </c>
      <c r="F4" s="50" t="s">
        <v>409</v>
      </c>
      <c r="G4" s="50" t="s">
        <v>405</v>
      </c>
      <c r="H4" s="50" t="s">
        <v>410</v>
      </c>
    </row>
    <row r="5" spans="1:8" x14ac:dyDescent="0.35">
      <c r="A5" s="50">
        <v>4</v>
      </c>
      <c r="B5" s="50" t="s">
        <v>417</v>
      </c>
      <c r="C5" s="50" t="s">
        <v>418</v>
      </c>
      <c r="D5" s="51">
        <v>46272</v>
      </c>
      <c r="E5" s="50" t="s">
        <v>403</v>
      </c>
      <c r="F5" s="50" t="s">
        <v>404</v>
      </c>
      <c r="G5" s="50" t="s">
        <v>405</v>
      </c>
      <c r="H5" s="50" t="s">
        <v>620</v>
      </c>
    </row>
    <row r="6" spans="1:8" x14ac:dyDescent="0.35">
      <c r="A6" s="50">
        <v>5</v>
      </c>
      <c r="B6" s="50" t="s">
        <v>420</v>
      </c>
      <c r="C6" s="50" t="s">
        <v>405</v>
      </c>
      <c r="D6" s="51">
        <v>46272</v>
      </c>
      <c r="E6" s="50" t="s">
        <v>421</v>
      </c>
      <c r="F6" s="50" t="s">
        <v>409</v>
      </c>
      <c r="G6" s="50" t="s">
        <v>405</v>
      </c>
      <c r="H6" s="52" t="s">
        <v>410</v>
      </c>
    </row>
    <row r="7" spans="1:8" ht="106.5" customHeight="1" x14ac:dyDescent="0.35">
      <c r="A7" s="50">
        <v>6</v>
      </c>
      <c r="B7" s="50" t="s">
        <v>422</v>
      </c>
      <c r="C7" s="50" t="s">
        <v>423</v>
      </c>
      <c r="D7" s="51">
        <v>46269</v>
      </c>
      <c r="E7" s="50" t="s">
        <v>618</v>
      </c>
      <c r="F7" s="50" t="s">
        <v>409</v>
      </c>
      <c r="G7" s="50" t="s">
        <v>426</v>
      </c>
      <c r="H7" s="52" t="s">
        <v>431</v>
      </c>
    </row>
    <row r="8" spans="1:8" ht="43.5" x14ac:dyDescent="0.35">
      <c r="A8" s="50">
        <v>7</v>
      </c>
      <c r="B8" s="53" t="s">
        <v>424</v>
      </c>
      <c r="C8" s="50" t="s">
        <v>425</v>
      </c>
      <c r="D8" s="51">
        <v>46269</v>
      </c>
      <c r="E8" s="50" t="s">
        <v>621</v>
      </c>
      <c r="F8" s="50" t="s">
        <v>404</v>
      </c>
      <c r="G8" s="50" t="s">
        <v>426</v>
      </c>
      <c r="H8" s="52" t="s">
        <v>620</v>
      </c>
    </row>
    <row r="9" spans="1:8" ht="58" x14ac:dyDescent="0.35">
      <c r="A9" s="50">
        <v>8</v>
      </c>
      <c r="B9" s="54" t="s">
        <v>427</v>
      </c>
      <c r="C9" s="50" t="s">
        <v>425</v>
      </c>
      <c r="D9" s="51">
        <v>46272</v>
      </c>
      <c r="E9" s="53" t="s">
        <v>616</v>
      </c>
      <c r="F9" s="50" t="s">
        <v>409</v>
      </c>
      <c r="G9" s="50" t="s">
        <v>426</v>
      </c>
      <c r="H9" s="52" t="s">
        <v>431</v>
      </c>
    </row>
    <row r="10" spans="1:8" ht="58" x14ac:dyDescent="0.35">
      <c r="A10" s="50">
        <v>9</v>
      </c>
      <c r="B10" s="54" t="s">
        <v>428</v>
      </c>
      <c r="C10" s="50" t="s">
        <v>425</v>
      </c>
      <c r="D10" s="51">
        <v>46272</v>
      </c>
      <c r="E10" s="53" t="s">
        <v>617</v>
      </c>
      <c r="F10" s="50" t="s">
        <v>409</v>
      </c>
      <c r="G10" s="50" t="s">
        <v>426</v>
      </c>
      <c r="H10" s="52" t="s">
        <v>431</v>
      </c>
    </row>
    <row r="11" spans="1:8" ht="29" x14ac:dyDescent="0.35">
      <c r="A11" s="50">
        <v>10</v>
      </c>
      <c r="B11" s="54" t="s">
        <v>429</v>
      </c>
      <c r="C11" s="52" t="s">
        <v>412</v>
      </c>
      <c r="D11" s="51">
        <v>46272</v>
      </c>
      <c r="E11" s="54" t="s">
        <v>430</v>
      </c>
      <c r="F11" s="52" t="s">
        <v>404</v>
      </c>
      <c r="G11" s="52" t="s">
        <v>405</v>
      </c>
      <c r="H11" s="52" t="s">
        <v>431</v>
      </c>
    </row>
    <row r="12" spans="1:8" x14ac:dyDescent="0.35">
      <c r="A12" s="50">
        <v>11</v>
      </c>
      <c r="B12" s="54" t="s">
        <v>619</v>
      </c>
      <c r="C12" s="52" t="s">
        <v>412</v>
      </c>
      <c r="D12" s="51">
        <v>46273</v>
      </c>
      <c r="E12" s="54" t="s">
        <v>624</v>
      </c>
      <c r="F12" s="52" t="s">
        <v>409</v>
      </c>
      <c r="G12" s="52" t="s">
        <v>405</v>
      </c>
      <c r="H12" s="52" t="s">
        <v>431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20EB0-654E-40E0-AEC9-8356864D7D5E}">
  <dimension ref="A1:U65"/>
  <sheetViews>
    <sheetView showGridLines="0" tabSelected="1" zoomScale="70" zoomScaleNormal="70" workbookViewId="0">
      <pane ySplit="1" topLeftCell="A2" activePane="bottomLeft" state="frozen"/>
      <selection pane="bottomLeft" activeCell="A2" sqref="A2"/>
    </sheetView>
  </sheetViews>
  <sheetFormatPr defaultRowHeight="14.5" x14ac:dyDescent="0.35"/>
  <cols>
    <col min="1" max="1" width="35.81640625" customWidth="1"/>
    <col min="2" max="2" width="46.7265625" style="110" customWidth="1"/>
    <col min="3" max="14" width="65.54296875" customWidth="1"/>
    <col min="15" max="16" width="65.54296875" style="111" customWidth="1"/>
    <col min="17" max="20" width="65.54296875" style="110" customWidth="1"/>
    <col min="21" max="21" width="65.54296875" style="111" customWidth="1"/>
  </cols>
  <sheetData>
    <row r="1" spans="1:21" x14ac:dyDescent="0.35">
      <c r="A1" s="59"/>
      <c r="B1" s="60" t="s">
        <v>433</v>
      </c>
      <c r="C1" s="60" t="s">
        <v>434</v>
      </c>
      <c r="D1" s="60" t="s">
        <v>435</v>
      </c>
      <c r="E1" s="60" t="s">
        <v>436</v>
      </c>
      <c r="F1" s="60" t="s">
        <v>437</v>
      </c>
      <c r="G1" s="60" t="s">
        <v>438</v>
      </c>
      <c r="H1" s="60" t="s">
        <v>439</v>
      </c>
      <c r="I1" s="60" t="s">
        <v>440</v>
      </c>
      <c r="J1" s="60" t="s">
        <v>441</v>
      </c>
      <c r="K1" s="60" t="s">
        <v>442</v>
      </c>
      <c r="L1" s="60" t="s">
        <v>443</v>
      </c>
      <c r="M1" s="60" t="s">
        <v>444</v>
      </c>
      <c r="N1" s="60" t="s">
        <v>445</v>
      </c>
      <c r="O1" s="60" t="s">
        <v>446</v>
      </c>
      <c r="P1" s="60" t="s">
        <v>447</v>
      </c>
      <c r="Q1" s="60" t="s">
        <v>448</v>
      </c>
      <c r="R1" s="60" t="s">
        <v>449</v>
      </c>
      <c r="S1" s="60" t="s">
        <v>450</v>
      </c>
      <c r="T1" s="60" t="s">
        <v>451</v>
      </c>
      <c r="U1" s="60" t="s">
        <v>452</v>
      </c>
    </row>
    <row r="2" spans="1:21" ht="39" x14ac:dyDescent="0.35">
      <c r="A2" s="61" t="s">
        <v>363</v>
      </c>
      <c r="B2" s="62" t="s">
        <v>453</v>
      </c>
      <c r="C2" s="106" t="s">
        <v>454</v>
      </c>
      <c r="D2" s="106" t="s">
        <v>454</v>
      </c>
      <c r="E2" s="106" t="s">
        <v>454</v>
      </c>
      <c r="F2" s="106" t="s">
        <v>454</v>
      </c>
      <c r="G2" s="106" t="s">
        <v>454</v>
      </c>
      <c r="H2" s="106" t="s">
        <v>454</v>
      </c>
      <c r="I2" s="106" t="s">
        <v>454</v>
      </c>
      <c r="J2" s="106" t="s">
        <v>454</v>
      </c>
      <c r="K2" s="106" t="s">
        <v>454</v>
      </c>
      <c r="L2" s="106" t="s">
        <v>454</v>
      </c>
      <c r="M2" s="106" t="s">
        <v>454</v>
      </c>
      <c r="N2" s="106" t="s">
        <v>454</v>
      </c>
      <c r="O2" s="106" t="s">
        <v>454</v>
      </c>
      <c r="P2" s="106" t="s">
        <v>454</v>
      </c>
      <c r="Q2" s="106" t="s">
        <v>454</v>
      </c>
      <c r="R2" s="106" t="s">
        <v>454</v>
      </c>
      <c r="S2" s="106" t="s">
        <v>454</v>
      </c>
      <c r="T2" s="106" t="s">
        <v>454</v>
      </c>
      <c r="U2" s="106" t="s">
        <v>454</v>
      </c>
    </row>
    <row r="3" spans="1:21" ht="39" x14ac:dyDescent="0.35">
      <c r="A3" s="85" t="s">
        <v>455</v>
      </c>
      <c r="B3" s="62" t="s">
        <v>456</v>
      </c>
      <c r="C3" s="62" t="s">
        <v>457</v>
      </c>
      <c r="D3" s="62" t="s">
        <v>457</v>
      </c>
      <c r="E3" s="62" t="s">
        <v>457</v>
      </c>
      <c r="F3" s="62" t="s">
        <v>457</v>
      </c>
      <c r="G3" s="62" t="s">
        <v>457</v>
      </c>
      <c r="H3" s="62" t="s">
        <v>457</v>
      </c>
      <c r="I3" s="62" t="s">
        <v>457</v>
      </c>
      <c r="J3" s="62" t="s">
        <v>457</v>
      </c>
      <c r="K3" s="62" t="s">
        <v>457</v>
      </c>
      <c r="L3" s="62" t="s">
        <v>457</v>
      </c>
      <c r="M3" s="62" t="s">
        <v>457</v>
      </c>
      <c r="N3" s="62" t="s">
        <v>457</v>
      </c>
      <c r="O3" s="62" t="s">
        <v>457</v>
      </c>
      <c r="P3" s="62" t="s">
        <v>457</v>
      </c>
      <c r="Q3" s="62" t="s">
        <v>457</v>
      </c>
      <c r="R3" s="62" t="s">
        <v>457</v>
      </c>
      <c r="S3" s="62" t="s">
        <v>457</v>
      </c>
      <c r="T3" s="62" t="s">
        <v>457</v>
      </c>
      <c r="U3" s="62" t="s">
        <v>457</v>
      </c>
    </row>
    <row r="4" spans="1:21" ht="39" x14ac:dyDescent="0.35">
      <c r="A4" s="86"/>
      <c r="B4" s="62" t="s">
        <v>458</v>
      </c>
      <c r="C4" s="62" t="s">
        <v>457</v>
      </c>
      <c r="D4" s="62" t="s">
        <v>457</v>
      </c>
      <c r="E4" s="62" t="s">
        <v>457</v>
      </c>
      <c r="F4" s="62" t="s">
        <v>457</v>
      </c>
      <c r="G4" s="62" t="s">
        <v>457</v>
      </c>
      <c r="H4" s="62" t="s">
        <v>457</v>
      </c>
      <c r="I4" s="62" t="s">
        <v>457</v>
      </c>
      <c r="J4" s="62" t="s">
        <v>457</v>
      </c>
      <c r="K4" s="62" t="s">
        <v>457</v>
      </c>
      <c r="L4" s="62" t="s">
        <v>457</v>
      </c>
      <c r="M4" s="62" t="s">
        <v>457</v>
      </c>
      <c r="N4" s="62" t="s">
        <v>457</v>
      </c>
      <c r="O4" s="62" t="s">
        <v>457</v>
      </c>
      <c r="P4" s="62" t="s">
        <v>457</v>
      </c>
      <c r="Q4" s="62" t="s">
        <v>457</v>
      </c>
      <c r="R4" s="62" t="s">
        <v>457</v>
      </c>
      <c r="S4" s="62" t="s">
        <v>457</v>
      </c>
      <c r="T4" s="62" t="s">
        <v>457</v>
      </c>
      <c r="U4" s="62" t="s">
        <v>457</v>
      </c>
    </row>
    <row r="5" spans="1:21" ht="104" x14ac:dyDescent="0.35">
      <c r="A5" s="87" t="s">
        <v>299</v>
      </c>
      <c r="B5" s="62" t="s">
        <v>459</v>
      </c>
      <c r="C5" s="62" t="s">
        <v>460</v>
      </c>
      <c r="D5" s="62" t="s">
        <v>460</v>
      </c>
      <c r="E5" s="62" t="s">
        <v>460</v>
      </c>
      <c r="F5" s="62" t="s">
        <v>460</v>
      </c>
      <c r="G5" s="62" t="s">
        <v>460</v>
      </c>
      <c r="H5" s="62" t="s">
        <v>460</v>
      </c>
      <c r="I5" s="62" t="s">
        <v>460</v>
      </c>
      <c r="J5" s="62" t="s">
        <v>460</v>
      </c>
      <c r="K5" s="62" t="s">
        <v>460</v>
      </c>
      <c r="L5" s="62" t="s">
        <v>460</v>
      </c>
      <c r="M5" s="62" t="s">
        <v>460</v>
      </c>
      <c r="N5" s="62" t="s">
        <v>460</v>
      </c>
      <c r="O5" s="62" t="s">
        <v>460</v>
      </c>
      <c r="P5" s="62" t="s">
        <v>460</v>
      </c>
      <c r="Q5" s="62" t="s">
        <v>460</v>
      </c>
      <c r="R5" s="62" t="s">
        <v>460</v>
      </c>
      <c r="S5" s="62" t="s">
        <v>460</v>
      </c>
      <c r="T5" s="62" t="s">
        <v>460</v>
      </c>
      <c r="U5" s="62" t="s">
        <v>460</v>
      </c>
    </row>
    <row r="6" spans="1:21" ht="91" x14ac:dyDescent="0.35">
      <c r="A6" s="88"/>
      <c r="B6" s="62" t="s">
        <v>461</v>
      </c>
      <c r="C6" s="62" t="s">
        <v>462</v>
      </c>
      <c r="D6" s="62" t="s">
        <v>462</v>
      </c>
      <c r="E6" s="62" t="s">
        <v>462</v>
      </c>
      <c r="F6" s="62" t="s">
        <v>462</v>
      </c>
      <c r="G6" s="62" t="s">
        <v>462</v>
      </c>
      <c r="H6" s="62" t="s">
        <v>462</v>
      </c>
      <c r="I6" s="62" t="s">
        <v>462</v>
      </c>
      <c r="J6" s="62" t="s">
        <v>462</v>
      </c>
      <c r="K6" s="62" t="s">
        <v>462</v>
      </c>
      <c r="L6" s="62" t="s">
        <v>462</v>
      </c>
      <c r="M6" s="62" t="s">
        <v>462</v>
      </c>
      <c r="N6" s="62" t="s">
        <v>462</v>
      </c>
      <c r="O6" s="62" t="s">
        <v>462</v>
      </c>
      <c r="P6" s="62" t="s">
        <v>462</v>
      </c>
      <c r="Q6" s="62" t="s">
        <v>462</v>
      </c>
      <c r="R6" s="62" t="s">
        <v>462</v>
      </c>
      <c r="S6" s="62" t="s">
        <v>462</v>
      </c>
      <c r="T6" s="62" t="s">
        <v>462</v>
      </c>
      <c r="U6" s="62" t="s">
        <v>462</v>
      </c>
    </row>
    <row r="7" spans="1:21" ht="143" x14ac:dyDescent="0.35">
      <c r="A7" s="88"/>
      <c r="B7" s="62" t="s">
        <v>463</v>
      </c>
      <c r="C7" s="62" t="s">
        <v>464</v>
      </c>
      <c r="D7" s="62" t="s">
        <v>464</v>
      </c>
      <c r="E7" s="62" t="s">
        <v>464</v>
      </c>
      <c r="F7" s="62" t="s">
        <v>464</v>
      </c>
      <c r="G7" s="62" t="s">
        <v>464</v>
      </c>
      <c r="H7" s="62" t="s">
        <v>464</v>
      </c>
      <c r="I7" s="62" t="s">
        <v>464</v>
      </c>
      <c r="J7" s="62" t="s">
        <v>464</v>
      </c>
      <c r="K7" s="62" t="s">
        <v>464</v>
      </c>
      <c r="L7" s="62" t="s">
        <v>464</v>
      </c>
      <c r="M7" s="62" t="s">
        <v>464</v>
      </c>
      <c r="N7" s="62" t="s">
        <v>464</v>
      </c>
      <c r="O7" s="107" t="s">
        <v>464</v>
      </c>
      <c r="P7" s="107" t="s">
        <v>464</v>
      </c>
      <c r="Q7" s="62" t="s">
        <v>464</v>
      </c>
      <c r="R7" s="62" t="s">
        <v>464</v>
      </c>
      <c r="S7" s="62" t="s">
        <v>464</v>
      </c>
      <c r="T7" s="62" t="s">
        <v>464</v>
      </c>
      <c r="U7" s="107" t="s">
        <v>464</v>
      </c>
    </row>
    <row r="8" spans="1:21" ht="195" x14ac:dyDescent="0.35">
      <c r="A8" s="88"/>
      <c r="B8" s="62" t="s">
        <v>465</v>
      </c>
      <c r="C8" s="62" t="s">
        <v>466</v>
      </c>
      <c r="D8" s="62" t="s">
        <v>467</v>
      </c>
      <c r="E8" s="62" t="s">
        <v>466</v>
      </c>
      <c r="F8" s="62" t="s">
        <v>467</v>
      </c>
      <c r="G8" s="62" t="s">
        <v>466</v>
      </c>
      <c r="H8" s="62" t="s">
        <v>467</v>
      </c>
      <c r="I8" s="62" t="s">
        <v>466</v>
      </c>
      <c r="J8" s="62" t="s">
        <v>467</v>
      </c>
      <c r="K8" s="62" t="s">
        <v>466</v>
      </c>
      <c r="L8" s="62" t="s">
        <v>467</v>
      </c>
      <c r="M8" s="62" t="s">
        <v>468</v>
      </c>
      <c r="N8" s="62" t="s">
        <v>467</v>
      </c>
      <c r="O8" s="107" t="s">
        <v>469</v>
      </c>
      <c r="P8" s="107" t="s">
        <v>469</v>
      </c>
      <c r="Q8" s="62" t="s">
        <v>470</v>
      </c>
      <c r="R8" s="62" t="s">
        <v>470</v>
      </c>
      <c r="S8" s="62" t="s">
        <v>470</v>
      </c>
      <c r="T8" s="62" t="s">
        <v>470</v>
      </c>
      <c r="U8" s="107" t="s">
        <v>471</v>
      </c>
    </row>
    <row r="9" spans="1:21" ht="169" x14ac:dyDescent="0.35">
      <c r="A9" s="88"/>
      <c r="B9" s="62" t="s">
        <v>472</v>
      </c>
      <c r="C9" s="62" t="s">
        <v>473</v>
      </c>
      <c r="D9" s="62" t="s">
        <v>473</v>
      </c>
      <c r="E9" s="62" t="s">
        <v>473</v>
      </c>
      <c r="F9" s="62" t="s">
        <v>473</v>
      </c>
      <c r="G9" s="62" t="s">
        <v>473</v>
      </c>
      <c r="H9" s="62" t="s">
        <v>473</v>
      </c>
      <c r="I9" s="62" t="s">
        <v>473</v>
      </c>
      <c r="J9" s="62" t="s">
        <v>473</v>
      </c>
      <c r="K9" s="62" t="s">
        <v>473</v>
      </c>
      <c r="L9" s="62" t="s">
        <v>473</v>
      </c>
      <c r="M9" s="62" t="s">
        <v>473</v>
      </c>
      <c r="N9" s="62" t="s">
        <v>473</v>
      </c>
      <c r="O9" s="107" t="s">
        <v>473</v>
      </c>
      <c r="P9" s="107" t="s">
        <v>473</v>
      </c>
      <c r="Q9" s="62" t="s">
        <v>473</v>
      </c>
      <c r="R9" s="62" t="s">
        <v>473</v>
      </c>
      <c r="S9" s="62" t="s">
        <v>473</v>
      </c>
      <c r="T9" s="62" t="s">
        <v>473</v>
      </c>
      <c r="U9" s="107" t="s">
        <v>473</v>
      </c>
    </row>
    <row r="10" spans="1:21" ht="78" x14ac:dyDescent="0.35">
      <c r="A10" s="88"/>
      <c r="B10" s="62" t="s">
        <v>474</v>
      </c>
      <c r="C10" s="62" t="s">
        <v>475</v>
      </c>
      <c r="D10" s="62" t="s">
        <v>475</v>
      </c>
      <c r="E10" s="62" t="s">
        <v>475</v>
      </c>
      <c r="F10" s="62" t="s">
        <v>475</v>
      </c>
      <c r="G10" s="62" t="s">
        <v>475</v>
      </c>
      <c r="H10" s="62" t="s">
        <v>475</v>
      </c>
      <c r="I10" s="62" t="s">
        <v>475</v>
      </c>
      <c r="J10" s="62" t="s">
        <v>475</v>
      </c>
      <c r="K10" s="62" t="s">
        <v>475</v>
      </c>
      <c r="L10" s="62" t="s">
        <v>475</v>
      </c>
      <c r="M10" s="62" t="s">
        <v>475</v>
      </c>
      <c r="N10" s="62" t="s">
        <v>475</v>
      </c>
      <c r="O10" s="107" t="s">
        <v>475</v>
      </c>
      <c r="P10" s="107" t="s">
        <v>475</v>
      </c>
      <c r="Q10" s="62" t="s">
        <v>475</v>
      </c>
      <c r="R10" s="62" t="s">
        <v>475</v>
      </c>
      <c r="S10" s="62" t="s">
        <v>475</v>
      </c>
      <c r="T10" s="62" t="s">
        <v>475</v>
      </c>
      <c r="U10" s="107" t="s">
        <v>475</v>
      </c>
    </row>
    <row r="11" spans="1:21" ht="130" x14ac:dyDescent="0.35">
      <c r="A11" s="88"/>
      <c r="B11" s="62" t="s">
        <v>476</v>
      </c>
      <c r="C11" s="62" t="s">
        <v>477</v>
      </c>
      <c r="D11" s="62" t="s">
        <v>477</v>
      </c>
      <c r="E11" s="62" t="s">
        <v>477</v>
      </c>
      <c r="F11" s="62" t="s">
        <v>477</v>
      </c>
      <c r="G11" s="62" t="s">
        <v>477</v>
      </c>
      <c r="H11" s="62" t="s">
        <v>477</v>
      </c>
      <c r="I11" s="62" t="s">
        <v>477</v>
      </c>
      <c r="J11" s="62" t="s">
        <v>477</v>
      </c>
      <c r="K11" s="62" t="s">
        <v>477</v>
      </c>
      <c r="L11" s="62" t="s">
        <v>477</v>
      </c>
      <c r="M11" s="62" t="s">
        <v>477</v>
      </c>
      <c r="N11" s="62" t="s">
        <v>477</v>
      </c>
      <c r="O11" s="107" t="s">
        <v>477</v>
      </c>
      <c r="P11" s="107" t="s">
        <v>477</v>
      </c>
      <c r="Q11" s="62" t="s">
        <v>477</v>
      </c>
      <c r="R11" s="62" t="s">
        <v>477</v>
      </c>
      <c r="S11" s="62" t="s">
        <v>477</v>
      </c>
      <c r="T11" s="62" t="s">
        <v>477</v>
      </c>
      <c r="U11" s="107" t="s">
        <v>477</v>
      </c>
    </row>
    <row r="12" spans="1:21" ht="104" x14ac:dyDescent="0.35">
      <c r="A12" s="88"/>
      <c r="B12" s="62" t="s">
        <v>478</v>
      </c>
      <c r="C12" s="62" t="s">
        <v>479</v>
      </c>
      <c r="D12" s="64" t="s">
        <v>480</v>
      </c>
      <c r="E12" s="62" t="s">
        <v>479</v>
      </c>
      <c r="F12" s="64" t="s">
        <v>480</v>
      </c>
      <c r="G12" s="62" t="s">
        <v>479</v>
      </c>
      <c r="H12" s="64" t="s">
        <v>480</v>
      </c>
      <c r="I12" s="62" t="s">
        <v>479</v>
      </c>
      <c r="J12" s="64" t="s">
        <v>480</v>
      </c>
      <c r="K12" s="62" t="s">
        <v>479</v>
      </c>
      <c r="L12" s="64" t="s">
        <v>480</v>
      </c>
      <c r="M12" s="62" t="s">
        <v>479</v>
      </c>
      <c r="N12" s="64" t="s">
        <v>480</v>
      </c>
      <c r="O12" s="65" t="s">
        <v>481</v>
      </c>
      <c r="P12" s="65" t="s">
        <v>481</v>
      </c>
      <c r="Q12" s="64" t="s">
        <v>482</v>
      </c>
      <c r="R12" s="64" t="s">
        <v>482</v>
      </c>
      <c r="S12" s="64" t="s">
        <v>482</v>
      </c>
      <c r="T12" s="64" t="s">
        <v>482</v>
      </c>
      <c r="U12" s="65" t="s">
        <v>483</v>
      </c>
    </row>
    <row r="13" spans="1:21" ht="182" x14ac:dyDescent="0.35">
      <c r="A13" s="88"/>
      <c r="B13" s="62" t="s">
        <v>484</v>
      </c>
      <c r="C13" s="62" t="s">
        <v>485</v>
      </c>
      <c r="D13" s="64" t="s">
        <v>486</v>
      </c>
      <c r="E13" s="62" t="s">
        <v>485</v>
      </c>
      <c r="F13" s="64" t="s">
        <v>486</v>
      </c>
      <c r="G13" s="62" t="s">
        <v>485</v>
      </c>
      <c r="H13" s="64" t="s">
        <v>486</v>
      </c>
      <c r="I13" s="62" t="s">
        <v>485</v>
      </c>
      <c r="J13" s="64" t="s">
        <v>486</v>
      </c>
      <c r="K13" s="62" t="s">
        <v>485</v>
      </c>
      <c r="L13" s="64" t="s">
        <v>486</v>
      </c>
      <c r="M13" s="62" t="s">
        <v>485</v>
      </c>
      <c r="N13" s="64" t="s">
        <v>486</v>
      </c>
      <c r="O13" s="65" t="s">
        <v>486</v>
      </c>
      <c r="P13" s="65" t="s">
        <v>486</v>
      </c>
      <c r="Q13" s="64" t="s">
        <v>486</v>
      </c>
      <c r="R13" s="64" t="s">
        <v>486</v>
      </c>
      <c r="S13" s="64" t="s">
        <v>486</v>
      </c>
      <c r="T13" s="64" t="s">
        <v>486</v>
      </c>
      <c r="U13" s="65" t="s">
        <v>486</v>
      </c>
    </row>
    <row r="14" spans="1:21" ht="182" x14ac:dyDescent="0.35">
      <c r="A14" s="88"/>
      <c r="B14" s="62" t="s">
        <v>487</v>
      </c>
      <c r="C14" s="62" t="s">
        <v>488</v>
      </c>
      <c r="D14" s="62" t="s">
        <v>488</v>
      </c>
      <c r="E14" s="62" t="s">
        <v>488</v>
      </c>
      <c r="F14" s="62" t="s">
        <v>488</v>
      </c>
      <c r="G14" s="62" t="s">
        <v>488</v>
      </c>
      <c r="H14" s="62" t="s">
        <v>488</v>
      </c>
      <c r="I14" s="62" t="s">
        <v>488</v>
      </c>
      <c r="J14" s="62" t="s">
        <v>488</v>
      </c>
      <c r="K14" s="62" t="s">
        <v>488</v>
      </c>
      <c r="L14" s="62" t="s">
        <v>488</v>
      </c>
      <c r="M14" s="62" t="s">
        <v>488</v>
      </c>
      <c r="N14" s="62" t="s">
        <v>488</v>
      </c>
      <c r="O14" s="62" t="s">
        <v>488</v>
      </c>
      <c r="P14" s="62" t="s">
        <v>488</v>
      </c>
      <c r="Q14" s="62" t="s">
        <v>488</v>
      </c>
      <c r="R14" s="62" t="s">
        <v>488</v>
      </c>
      <c r="S14" s="62" t="s">
        <v>488</v>
      </c>
      <c r="T14" s="62" t="s">
        <v>488</v>
      </c>
      <c r="U14" s="62" t="s">
        <v>488</v>
      </c>
    </row>
    <row r="15" spans="1:21" ht="221" x14ac:dyDescent="0.35">
      <c r="A15" s="88"/>
      <c r="B15" s="62" t="s">
        <v>489</v>
      </c>
      <c r="C15" s="62" t="s">
        <v>490</v>
      </c>
      <c r="D15" s="62" t="s">
        <v>490</v>
      </c>
      <c r="E15" s="62" t="s">
        <v>490</v>
      </c>
      <c r="F15" s="62" t="s">
        <v>490</v>
      </c>
      <c r="G15" s="62" t="s">
        <v>490</v>
      </c>
      <c r="H15" s="62" t="s">
        <v>490</v>
      </c>
      <c r="I15" s="62" t="s">
        <v>490</v>
      </c>
      <c r="J15" s="62" t="s">
        <v>490</v>
      </c>
      <c r="K15" s="62" t="s">
        <v>490</v>
      </c>
      <c r="L15" s="62" t="s">
        <v>490</v>
      </c>
      <c r="M15" s="62" t="s">
        <v>490</v>
      </c>
      <c r="N15" s="62" t="s">
        <v>490</v>
      </c>
      <c r="O15" s="62" t="s">
        <v>490</v>
      </c>
      <c r="P15" s="62" t="s">
        <v>490</v>
      </c>
      <c r="Q15" s="62" t="s">
        <v>490</v>
      </c>
      <c r="R15" s="62" t="s">
        <v>490</v>
      </c>
      <c r="S15" s="62" t="s">
        <v>490</v>
      </c>
      <c r="T15" s="62" t="s">
        <v>490</v>
      </c>
      <c r="U15" s="62" t="s">
        <v>490</v>
      </c>
    </row>
    <row r="16" spans="1:21" ht="39" x14ac:dyDescent="0.35">
      <c r="A16" s="88"/>
      <c r="B16" s="62" t="s">
        <v>491</v>
      </c>
      <c r="C16" s="62" t="s">
        <v>492</v>
      </c>
      <c r="D16" s="62" t="s">
        <v>492</v>
      </c>
      <c r="E16" s="62" t="s">
        <v>492</v>
      </c>
      <c r="F16" s="62" t="s">
        <v>492</v>
      </c>
      <c r="G16" s="62" t="s">
        <v>492</v>
      </c>
      <c r="H16" s="62" t="s">
        <v>492</v>
      </c>
      <c r="I16" s="62" t="s">
        <v>492</v>
      </c>
      <c r="J16" s="62" t="s">
        <v>492</v>
      </c>
      <c r="K16" s="62" t="s">
        <v>492</v>
      </c>
      <c r="L16" s="62" t="s">
        <v>492</v>
      </c>
      <c r="M16" s="62" t="s">
        <v>492</v>
      </c>
      <c r="N16" s="62" t="s">
        <v>492</v>
      </c>
      <c r="O16" s="107" t="s">
        <v>492</v>
      </c>
      <c r="P16" s="107" t="s">
        <v>492</v>
      </c>
      <c r="Q16" s="62" t="s">
        <v>492</v>
      </c>
      <c r="R16" s="62" t="s">
        <v>492</v>
      </c>
      <c r="S16" s="62" t="s">
        <v>492</v>
      </c>
      <c r="T16" s="62" t="s">
        <v>492</v>
      </c>
      <c r="U16" s="107" t="s">
        <v>492</v>
      </c>
    </row>
    <row r="17" spans="1:21" ht="295" customHeight="1" x14ac:dyDescent="0.35">
      <c r="A17" s="88"/>
      <c r="B17" s="62" t="s">
        <v>493</v>
      </c>
      <c r="C17" s="62" t="s">
        <v>494</v>
      </c>
      <c r="D17" s="62" t="s">
        <v>494</v>
      </c>
      <c r="E17" s="62" t="s">
        <v>494</v>
      </c>
      <c r="F17" s="62" t="s">
        <v>494</v>
      </c>
      <c r="G17" s="62" t="s">
        <v>494</v>
      </c>
      <c r="H17" s="62" t="s">
        <v>494</v>
      </c>
      <c r="I17" s="62" t="s">
        <v>494</v>
      </c>
      <c r="J17" s="62" t="s">
        <v>494</v>
      </c>
      <c r="K17" s="62" t="s">
        <v>494</v>
      </c>
      <c r="L17" s="62" t="s">
        <v>494</v>
      </c>
      <c r="M17" s="62" t="s">
        <v>494</v>
      </c>
      <c r="N17" s="62" t="s">
        <v>494</v>
      </c>
      <c r="O17" s="62" t="s">
        <v>494</v>
      </c>
      <c r="P17" s="62" t="s">
        <v>494</v>
      </c>
      <c r="Q17" s="62" t="s">
        <v>494</v>
      </c>
      <c r="R17" s="62" t="s">
        <v>494</v>
      </c>
      <c r="S17" s="62" t="s">
        <v>494</v>
      </c>
      <c r="T17" s="62" t="s">
        <v>494</v>
      </c>
      <c r="U17" s="62" t="s">
        <v>494</v>
      </c>
    </row>
    <row r="18" spans="1:21" ht="221" x14ac:dyDescent="0.35">
      <c r="A18" s="88"/>
      <c r="B18" s="62" t="s">
        <v>495</v>
      </c>
      <c r="C18" s="62" t="s">
        <v>490</v>
      </c>
      <c r="D18" s="62" t="s">
        <v>490</v>
      </c>
      <c r="E18" s="62" t="s">
        <v>490</v>
      </c>
      <c r="F18" s="62" t="s">
        <v>490</v>
      </c>
      <c r="G18" s="62" t="s">
        <v>490</v>
      </c>
      <c r="H18" s="62" t="s">
        <v>490</v>
      </c>
      <c r="I18" s="62" t="s">
        <v>490</v>
      </c>
      <c r="J18" s="62" t="s">
        <v>490</v>
      </c>
      <c r="K18" s="62" t="s">
        <v>490</v>
      </c>
      <c r="L18" s="62" t="s">
        <v>490</v>
      </c>
      <c r="M18" s="62" t="s">
        <v>490</v>
      </c>
      <c r="N18" s="62" t="s">
        <v>490</v>
      </c>
      <c r="O18" s="62" t="s">
        <v>490</v>
      </c>
      <c r="P18" s="62" t="s">
        <v>490</v>
      </c>
      <c r="Q18" s="62" t="s">
        <v>490</v>
      </c>
      <c r="R18" s="62" t="s">
        <v>490</v>
      </c>
      <c r="S18" s="62" t="s">
        <v>490</v>
      </c>
      <c r="T18" s="62" t="s">
        <v>490</v>
      </c>
      <c r="U18" s="62" t="s">
        <v>490</v>
      </c>
    </row>
    <row r="19" spans="1:21" ht="26" x14ac:dyDescent="0.35">
      <c r="A19" s="88"/>
      <c r="B19" s="62" t="s">
        <v>496</v>
      </c>
      <c r="C19" s="62" t="s">
        <v>497</v>
      </c>
      <c r="D19" s="62" t="s">
        <v>497</v>
      </c>
      <c r="E19" s="62" t="s">
        <v>497</v>
      </c>
      <c r="F19" s="62" t="s">
        <v>497</v>
      </c>
      <c r="G19" s="62" t="s">
        <v>497</v>
      </c>
      <c r="H19" s="62" t="s">
        <v>497</v>
      </c>
      <c r="I19" s="62" t="s">
        <v>497</v>
      </c>
      <c r="J19" s="62" t="s">
        <v>497</v>
      </c>
      <c r="K19" s="62" t="s">
        <v>497</v>
      </c>
      <c r="L19" s="62" t="s">
        <v>497</v>
      </c>
      <c r="M19" s="62" t="s">
        <v>497</v>
      </c>
      <c r="N19" s="62" t="s">
        <v>497</v>
      </c>
      <c r="O19" s="107" t="s">
        <v>497</v>
      </c>
      <c r="P19" s="107" t="s">
        <v>497</v>
      </c>
      <c r="Q19" s="62" t="s">
        <v>497</v>
      </c>
      <c r="R19" s="62" t="s">
        <v>497</v>
      </c>
      <c r="S19" s="62" t="s">
        <v>497</v>
      </c>
      <c r="T19" s="62" t="s">
        <v>497</v>
      </c>
      <c r="U19" s="107" t="s">
        <v>497</v>
      </c>
    </row>
    <row r="20" spans="1:21" ht="321" customHeight="1" x14ac:dyDescent="0.35">
      <c r="A20" s="88"/>
      <c r="B20" s="62" t="s">
        <v>498</v>
      </c>
      <c r="C20" s="62" t="s">
        <v>625</v>
      </c>
      <c r="D20" s="62" t="s">
        <v>625</v>
      </c>
      <c r="E20" s="62" t="s">
        <v>625</v>
      </c>
      <c r="F20" s="62" t="s">
        <v>625</v>
      </c>
      <c r="G20" s="62" t="s">
        <v>625</v>
      </c>
      <c r="H20" s="62" t="s">
        <v>625</v>
      </c>
      <c r="I20" s="62" t="s">
        <v>625</v>
      </c>
      <c r="J20" s="62" t="s">
        <v>625</v>
      </c>
      <c r="K20" s="62" t="s">
        <v>625</v>
      </c>
      <c r="L20" s="62" t="s">
        <v>625</v>
      </c>
      <c r="M20" s="62" t="s">
        <v>625</v>
      </c>
      <c r="N20" s="62" t="s">
        <v>625</v>
      </c>
      <c r="O20" s="62" t="s">
        <v>625</v>
      </c>
      <c r="P20" s="62" t="s">
        <v>625</v>
      </c>
      <c r="Q20" s="62" t="s">
        <v>625</v>
      </c>
      <c r="R20" s="62" t="s">
        <v>625</v>
      </c>
      <c r="S20" s="62" t="s">
        <v>625</v>
      </c>
      <c r="T20" s="62" t="s">
        <v>625</v>
      </c>
      <c r="U20" s="62" t="s">
        <v>625</v>
      </c>
    </row>
    <row r="21" spans="1:21" ht="221" x14ac:dyDescent="0.35">
      <c r="A21" s="88"/>
      <c r="B21" s="62" t="s">
        <v>499</v>
      </c>
      <c r="C21" s="62" t="s">
        <v>490</v>
      </c>
      <c r="D21" s="62" t="s">
        <v>490</v>
      </c>
      <c r="E21" s="62" t="s">
        <v>490</v>
      </c>
      <c r="F21" s="62" t="s">
        <v>490</v>
      </c>
      <c r="G21" s="62" t="s">
        <v>490</v>
      </c>
      <c r="H21" s="62" t="s">
        <v>490</v>
      </c>
      <c r="I21" s="62" t="s">
        <v>490</v>
      </c>
      <c r="J21" s="62" t="s">
        <v>490</v>
      </c>
      <c r="K21" s="62" t="s">
        <v>490</v>
      </c>
      <c r="L21" s="62" t="s">
        <v>490</v>
      </c>
      <c r="M21" s="62" t="s">
        <v>490</v>
      </c>
      <c r="N21" s="62" t="s">
        <v>490</v>
      </c>
      <c r="O21" s="62" t="s">
        <v>490</v>
      </c>
      <c r="P21" s="62" t="s">
        <v>490</v>
      </c>
      <c r="Q21" s="62" t="s">
        <v>490</v>
      </c>
      <c r="R21" s="62" t="s">
        <v>490</v>
      </c>
      <c r="S21" s="62" t="s">
        <v>490</v>
      </c>
      <c r="T21" s="62" t="s">
        <v>490</v>
      </c>
      <c r="U21" s="62" t="s">
        <v>490</v>
      </c>
    </row>
    <row r="22" spans="1:21" ht="65" x14ac:dyDescent="0.35">
      <c r="A22" s="88"/>
      <c r="B22" s="62" t="s">
        <v>500</v>
      </c>
      <c r="C22" s="62" t="s">
        <v>501</v>
      </c>
      <c r="D22" s="62" t="s">
        <v>501</v>
      </c>
      <c r="E22" s="62" t="s">
        <v>501</v>
      </c>
      <c r="F22" s="62" t="s">
        <v>501</v>
      </c>
      <c r="G22" s="62" t="s">
        <v>501</v>
      </c>
      <c r="H22" s="62" t="s">
        <v>501</v>
      </c>
      <c r="I22" s="62" t="s">
        <v>501</v>
      </c>
      <c r="J22" s="62" t="s">
        <v>501</v>
      </c>
      <c r="K22" s="62" t="s">
        <v>501</v>
      </c>
      <c r="L22" s="62" t="s">
        <v>501</v>
      </c>
      <c r="M22" s="62" t="s">
        <v>501</v>
      </c>
      <c r="N22" s="62" t="s">
        <v>502</v>
      </c>
      <c r="O22" s="107" t="s">
        <v>502</v>
      </c>
      <c r="P22" s="107" t="s">
        <v>502</v>
      </c>
      <c r="Q22" s="62" t="s">
        <v>501</v>
      </c>
      <c r="R22" s="62" t="s">
        <v>501</v>
      </c>
      <c r="S22" s="62" t="s">
        <v>501</v>
      </c>
      <c r="T22" s="62" t="s">
        <v>501</v>
      </c>
      <c r="U22" s="107" t="s">
        <v>503</v>
      </c>
    </row>
    <row r="23" spans="1:21" ht="247" x14ac:dyDescent="0.35">
      <c r="A23" s="88"/>
      <c r="B23" s="62" t="s">
        <v>504</v>
      </c>
      <c r="C23" s="62" t="s">
        <v>626</v>
      </c>
      <c r="D23" s="62" t="s">
        <v>626</v>
      </c>
      <c r="E23" s="62" t="s">
        <v>626</v>
      </c>
      <c r="F23" s="62" t="s">
        <v>626</v>
      </c>
      <c r="G23" s="62" t="s">
        <v>626</v>
      </c>
      <c r="H23" s="62" t="s">
        <v>626</v>
      </c>
      <c r="I23" s="62" t="s">
        <v>626</v>
      </c>
      <c r="J23" s="62" t="s">
        <v>626</v>
      </c>
      <c r="K23" s="62" t="s">
        <v>626</v>
      </c>
      <c r="L23" s="62" t="s">
        <v>626</v>
      </c>
      <c r="M23" s="62" t="s">
        <v>626</v>
      </c>
      <c r="N23" s="62" t="s">
        <v>626</v>
      </c>
      <c r="O23" s="62" t="s">
        <v>626</v>
      </c>
      <c r="P23" s="62" t="s">
        <v>626</v>
      </c>
      <c r="Q23" s="62" t="s">
        <v>626</v>
      </c>
      <c r="R23" s="62" t="s">
        <v>626</v>
      </c>
      <c r="S23" s="62" t="s">
        <v>626</v>
      </c>
      <c r="T23" s="62" t="s">
        <v>626</v>
      </c>
      <c r="U23" s="62" t="s">
        <v>626</v>
      </c>
    </row>
    <row r="24" spans="1:21" ht="130" x14ac:dyDescent="0.35">
      <c r="A24" s="88"/>
      <c r="B24" s="62" t="s">
        <v>505</v>
      </c>
      <c r="C24" s="62" t="s">
        <v>506</v>
      </c>
      <c r="D24" s="62" t="s">
        <v>506</v>
      </c>
      <c r="E24" s="62" t="s">
        <v>506</v>
      </c>
      <c r="F24" s="62" t="s">
        <v>506</v>
      </c>
      <c r="G24" s="62" t="s">
        <v>506</v>
      </c>
      <c r="H24" s="62" t="s">
        <v>506</v>
      </c>
      <c r="I24" s="62" t="s">
        <v>506</v>
      </c>
      <c r="J24" s="62" t="s">
        <v>506</v>
      </c>
      <c r="K24" s="62" t="s">
        <v>506</v>
      </c>
      <c r="L24" s="62" t="s">
        <v>506</v>
      </c>
      <c r="M24" s="62" t="s">
        <v>506</v>
      </c>
      <c r="N24" s="62" t="s">
        <v>506</v>
      </c>
      <c r="O24" s="62" t="s">
        <v>506</v>
      </c>
      <c r="P24" s="62" t="s">
        <v>506</v>
      </c>
      <c r="Q24" s="62" t="s">
        <v>506</v>
      </c>
      <c r="R24" s="62" t="s">
        <v>506</v>
      </c>
      <c r="S24" s="62" t="s">
        <v>506</v>
      </c>
      <c r="T24" s="62" t="s">
        <v>506</v>
      </c>
      <c r="U24" s="62" t="s">
        <v>506</v>
      </c>
    </row>
    <row r="25" spans="1:21" ht="117" x14ac:dyDescent="0.35">
      <c r="A25" s="88"/>
      <c r="B25" s="62" t="s">
        <v>507</v>
      </c>
      <c r="C25" s="62" t="s">
        <v>508</v>
      </c>
      <c r="D25" s="62" t="s">
        <v>509</v>
      </c>
      <c r="E25" s="62" t="s">
        <v>509</v>
      </c>
      <c r="F25" s="62" t="s">
        <v>509</v>
      </c>
      <c r="G25" s="62" t="s">
        <v>509</v>
      </c>
      <c r="H25" s="62" t="s">
        <v>509</v>
      </c>
      <c r="I25" s="62" t="s">
        <v>509</v>
      </c>
      <c r="J25" s="62" t="s">
        <v>509</v>
      </c>
      <c r="K25" s="62" t="s">
        <v>509</v>
      </c>
      <c r="L25" s="62" t="s">
        <v>509</v>
      </c>
      <c r="M25" s="62" t="s">
        <v>509</v>
      </c>
      <c r="N25" s="62" t="s">
        <v>509</v>
      </c>
      <c r="O25" s="62" t="s">
        <v>509</v>
      </c>
      <c r="P25" s="62" t="s">
        <v>509</v>
      </c>
      <c r="Q25" s="62" t="s">
        <v>509</v>
      </c>
      <c r="R25" s="62" t="s">
        <v>509</v>
      </c>
      <c r="S25" s="62" t="s">
        <v>509</v>
      </c>
      <c r="T25" s="62" t="s">
        <v>509</v>
      </c>
      <c r="U25" s="62" t="s">
        <v>509</v>
      </c>
    </row>
    <row r="26" spans="1:21" ht="256" customHeight="1" x14ac:dyDescent="0.35">
      <c r="A26" s="88"/>
      <c r="B26" s="108" t="s">
        <v>510</v>
      </c>
      <c r="C26" s="62" t="s">
        <v>627</v>
      </c>
      <c r="D26" s="62" t="s">
        <v>511</v>
      </c>
      <c r="E26" s="62" t="s">
        <v>511</v>
      </c>
      <c r="F26" s="62" t="s">
        <v>511</v>
      </c>
      <c r="G26" s="62" t="s">
        <v>511</v>
      </c>
      <c r="H26" s="62" t="s">
        <v>511</v>
      </c>
      <c r="I26" s="62" t="s">
        <v>511</v>
      </c>
      <c r="J26" s="62" t="s">
        <v>511</v>
      </c>
      <c r="K26" s="62" t="s">
        <v>511</v>
      </c>
      <c r="L26" s="62" t="s">
        <v>511</v>
      </c>
      <c r="M26" s="62" t="s">
        <v>511</v>
      </c>
      <c r="N26" s="62" t="s">
        <v>511</v>
      </c>
      <c r="O26" s="62" t="s">
        <v>511</v>
      </c>
      <c r="P26" s="62" t="s">
        <v>511</v>
      </c>
      <c r="Q26" s="62" t="s">
        <v>511</v>
      </c>
      <c r="R26" s="62" t="s">
        <v>511</v>
      </c>
      <c r="S26" s="62" t="s">
        <v>511</v>
      </c>
      <c r="T26" s="62" t="s">
        <v>511</v>
      </c>
      <c r="U26" s="62" t="s">
        <v>511</v>
      </c>
    </row>
    <row r="27" spans="1:21" ht="91" x14ac:dyDescent="0.35">
      <c r="A27" s="88"/>
      <c r="B27" s="62" t="s">
        <v>512</v>
      </c>
      <c r="C27" s="62" t="s">
        <v>513</v>
      </c>
      <c r="D27" s="62" t="s">
        <v>513</v>
      </c>
      <c r="E27" s="62" t="s">
        <v>513</v>
      </c>
      <c r="F27" s="62" t="s">
        <v>513</v>
      </c>
      <c r="G27" s="62" t="s">
        <v>513</v>
      </c>
      <c r="H27" s="62" t="s">
        <v>513</v>
      </c>
      <c r="I27" s="62" t="s">
        <v>513</v>
      </c>
      <c r="J27" s="62" t="s">
        <v>513</v>
      </c>
      <c r="K27" s="62" t="s">
        <v>513</v>
      </c>
      <c r="L27" s="62" t="s">
        <v>513</v>
      </c>
      <c r="M27" s="62" t="s">
        <v>513</v>
      </c>
      <c r="N27" s="62" t="s">
        <v>513</v>
      </c>
      <c r="O27" s="107" t="s">
        <v>514</v>
      </c>
      <c r="P27" s="107" t="s">
        <v>514</v>
      </c>
      <c r="Q27" s="62" t="s">
        <v>513</v>
      </c>
      <c r="R27" s="62" t="s">
        <v>513</v>
      </c>
      <c r="S27" s="62" t="s">
        <v>513</v>
      </c>
      <c r="T27" s="62" t="s">
        <v>513</v>
      </c>
      <c r="U27" s="107" t="s">
        <v>515</v>
      </c>
    </row>
    <row r="28" spans="1:21" ht="156" x14ac:dyDescent="0.35">
      <c r="A28" s="88"/>
      <c r="B28" s="62" t="s">
        <v>516</v>
      </c>
      <c r="C28" s="62" t="s">
        <v>517</v>
      </c>
      <c r="D28" s="62" t="s">
        <v>517</v>
      </c>
      <c r="E28" s="62" t="s">
        <v>517</v>
      </c>
      <c r="F28" s="62" t="s">
        <v>517</v>
      </c>
      <c r="G28" s="62" t="s">
        <v>517</v>
      </c>
      <c r="H28" s="62" t="s">
        <v>517</v>
      </c>
      <c r="I28" s="62" t="s">
        <v>517</v>
      </c>
      <c r="J28" s="62" t="s">
        <v>517</v>
      </c>
      <c r="K28" s="62" t="s">
        <v>517</v>
      </c>
      <c r="L28" s="62" t="s">
        <v>517</v>
      </c>
      <c r="M28" s="62" t="s">
        <v>517</v>
      </c>
      <c r="N28" s="62" t="s">
        <v>517</v>
      </c>
      <c r="O28" s="62" t="s">
        <v>517</v>
      </c>
      <c r="P28" s="62" t="s">
        <v>517</v>
      </c>
      <c r="Q28" s="62" t="s">
        <v>517</v>
      </c>
      <c r="R28" s="62" t="s">
        <v>517</v>
      </c>
      <c r="S28" s="62" t="s">
        <v>517</v>
      </c>
      <c r="T28" s="62" t="s">
        <v>517</v>
      </c>
      <c r="U28" s="62" t="s">
        <v>517</v>
      </c>
    </row>
    <row r="29" spans="1:21" ht="182" x14ac:dyDescent="0.35">
      <c r="A29" s="88"/>
      <c r="B29" s="62" t="s">
        <v>518</v>
      </c>
      <c r="C29" s="62" t="s">
        <v>519</v>
      </c>
      <c r="D29" s="62" t="s">
        <v>519</v>
      </c>
      <c r="E29" s="62" t="s">
        <v>519</v>
      </c>
      <c r="F29" s="62" t="s">
        <v>519</v>
      </c>
      <c r="G29" s="62" t="s">
        <v>519</v>
      </c>
      <c r="H29" s="62" t="s">
        <v>519</v>
      </c>
      <c r="I29" s="62" t="s">
        <v>519</v>
      </c>
      <c r="J29" s="62" t="s">
        <v>519</v>
      </c>
      <c r="K29" s="62" t="s">
        <v>519</v>
      </c>
      <c r="L29" s="62" t="s">
        <v>519</v>
      </c>
      <c r="M29" s="62" t="s">
        <v>519</v>
      </c>
      <c r="N29" s="62" t="s">
        <v>519</v>
      </c>
      <c r="O29" s="62" t="s">
        <v>519</v>
      </c>
      <c r="P29" s="62" t="s">
        <v>519</v>
      </c>
      <c r="Q29" s="62" t="s">
        <v>519</v>
      </c>
      <c r="R29" s="62" t="s">
        <v>519</v>
      </c>
      <c r="S29" s="62" t="s">
        <v>519</v>
      </c>
      <c r="T29" s="62" t="s">
        <v>519</v>
      </c>
      <c r="U29" s="62" t="s">
        <v>519</v>
      </c>
    </row>
    <row r="30" spans="1:21" ht="260" x14ac:dyDescent="0.35">
      <c r="A30" s="88"/>
      <c r="B30" s="62" t="s">
        <v>520</v>
      </c>
      <c r="C30" s="62" t="s">
        <v>521</v>
      </c>
      <c r="D30" s="62" t="s">
        <v>521</v>
      </c>
      <c r="E30" s="62" t="s">
        <v>521</v>
      </c>
      <c r="F30" s="62" t="s">
        <v>521</v>
      </c>
      <c r="G30" s="62" t="s">
        <v>521</v>
      </c>
      <c r="H30" s="62" t="s">
        <v>521</v>
      </c>
      <c r="I30" s="62" t="s">
        <v>521</v>
      </c>
      <c r="J30" s="62" t="s">
        <v>521</v>
      </c>
      <c r="K30" s="62" t="s">
        <v>521</v>
      </c>
      <c r="L30" s="62" t="s">
        <v>521</v>
      </c>
      <c r="M30" s="62" t="s">
        <v>521</v>
      </c>
      <c r="N30" s="62" t="s">
        <v>521</v>
      </c>
      <c r="O30" s="62" t="s">
        <v>521</v>
      </c>
      <c r="P30" s="62" t="s">
        <v>521</v>
      </c>
      <c r="Q30" s="62" t="s">
        <v>521</v>
      </c>
      <c r="R30" s="62" t="s">
        <v>521</v>
      </c>
      <c r="S30" s="62" t="s">
        <v>521</v>
      </c>
      <c r="T30" s="62" t="s">
        <v>521</v>
      </c>
      <c r="U30" s="62" t="s">
        <v>521</v>
      </c>
    </row>
    <row r="31" spans="1:21" ht="130" x14ac:dyDescent="0.35">
      <c r="A31" s="88"/>
      <c r="B31" s="62" t="s">
        <v>522</v>
      </c>
      <c r="C31" s="62" t="s">
        <v>523</v>
      </c>
      <c r="D31" s="62" t="s">
        <v>523</v>
      </c>
      <c r="E31" s="62" t="s">
        <v>523</v>
      </c>
      <c r="F31" s="62" t="s">
        <v>523</v>
      </c>
      <c r="G31" s="62" t="s">
        <v>523</v>
      </c>
      <c r="H31" s="62" t="s">
        <v>523</v>
      </c>
      <c r="I31" s="62" t="s">
        <v>523</v>
      </c>
      <c r="J31" s="62" t="s">
        <v>523</v>
      </c>
      <c r="K31" s="62" t="s">
        <v>523</v>
      </c>
      <c r="L31" s="62" t="s">
        <v>523</v>
      </c>
      <c r="M31" s="62" t="s">
        <v>523</v>
      </c>
      <c r="N31" s="62" t="s">
        <v>524</v>
      </c>
      <c r="O31" s="107" t="s">
        <v>524</v>
      </c>
      <c r="P31" s="107" t="s">
        <v>524</v>
      </c>
      <c r="Q31" s="62" t="s">
        <v>525</v>
      </c>
      <c r="R31" s="62" t="s">
        <v>525</v>
      </c>
      <c r="S31" s="62" t="s">
        <v>525</v>
      </c>
      <c r="T31" s="62" t="s">
        <v>525</v>
      </c>
      <c r="U31" s="107" t="s">
        <v>526</v>
      </c>
    </row>
    <row r="32" spans="1:21" ht="78" x14ac:dyDescent="0.35">
      <c r="A32" s="88"/>
      <c r="B32" s="62" t="s">
        <v>527</v>
      </c>
      <c r="C32" s="62" t="s">
        <v>528</v>
      </c>
      <c r="D32" s="62" t="s">
        <v>528</v>
      </c>
      <c r="E32" s="62" t="s">
        <v>528</v>
      </c>
      <c r="F32" s="62" t="s">
        <v>528</v>
      </c>
      <c r="G32" s="62" t="s">
        <v>528</v>
      </c>
      <c r="H32" s="62" t="s">
        <v>528</v>
      </c>
      <c r="I32" s="62" t="s">
        <v>528</v>
      </c>
      <c r="J32" s="62" t="s">
        <v>528</v>
      </c>
      <c r="K32" s="62" t="s">
        <v>528</v>
      </c>
      <c r="L32" s="62" t="s">
        <v>528</v>
      </c>
      <c r="M32" s="62" t="s">
        <v>528</v>
      </c>
      <c r="N32" s="62" t="s">
        <v>528</v>
      </c>
      <c r="O32" s="107" t="s">
        <v>528</v>
      </c>
      <c r="P32" s="107" t="s">
        <v>528</v>
      </c>
      <c r="Q32" s="62" t="s">
        <v>528</v>
      </c>
      <c r="R32" s="62" t="s">
        <v>528</v>
      </c>
      <c r="S32" s="62" t="s">
        <v>528</v>
      </c>
      <c r="T32" s="62" t="s">
        <v>528</v>
      </c>
      <c r="U32" s="107" t="s">
        <v>528</v>
      </c>
    </row>
    <row r="33" spans="1:21" ht="26" x14ac:dyDescent="0.35">
      <c r="A33" s="88"/>
      <c r="B33" s="62" t="s">
        <v>529</v>
      </c>
      <c r="C33" s="62" t="s">
        <v>530</v>
      </c>
      <c r="D33" s="62" t="s">
        <v>530</v>
      </c>
      <c r="E33" s="62" t="s">
        <v>530</v>
      </c>
      <c r="F33" s="62" t="s">
        <v>530</v>
      </c>
      <c r="G33" s="62" t="s">
        <v>530</v>
      </c>
      <c r="H33" s="62" t="s">
        <v>530</v>
      </c>
      <c r="I33" s="62" t="s">
        <v>530</v>
      </c>
      <c r="J33" s="62" t="s">
        <v>530</v>
      </c>
      <c r="K33" s="62" t="s">
        <v>530</v>
      </c>
      <c r="L33" s="62" t="s">
        <v>530</v>
      </c>
      <c r="M33" s="62" t="s">
        <v>530</v>
      </c>
      <c r="N33" s="62" t="s">
        <v>530</v>
      </c>
      <c r="O33" s="107" t="s">
        <v>530</v>
      </c>
      <c r="P33" s="107" t="s">
        <v>530</v>
      </c>
      <c r="Q33" s="62" t="s">
        <v>530</v>
      </c>
      <c r="R33" s="62" t="s">
        <v>530</v>
      </c>
      <c r="S33" s="62" t="s">
        <v>530</v>
      </c>
      <c r="T33" s="62" t="s">
        <v>530</v>
      </c>
      <c r="U33" s="107" t="s">
        <v>530</v>
      </c>
    </row>
    <row r="34" spans="1:21" ht="26" x14ac:dyDescent="0.35">
      <c r="A34" s="88"/>
      <c r="B34" s="62" t="s">
        <v>531</v>
      </c>
      <c r="C34" s="62" t="s">
        <v>532</v>
      </c>
      <c r="D34" s="62" t="s">
        <v>532</v>
      </c>
      <c r="E34" s="62" t="s">
        <v>532</v>
      </c>
      <c r="F34" s="62" t="s">
        <v>532</v>
      </c>
      <c r="G34" s="62" t="s">
        <v>532</v>
      </c>
      <c r="H34" s="62" t="s">
        <v>532</v>
      </c>
      <c r="I34" s="62" t="s">
        <v>532</v>
      </c>
      <c r="J34" s="62" t="s">
        <v>532</v>
      </c>
      <c r="K34" s="62" t="s">
        <v>532</v>
      </c>
      <c r="L34" s="62" t="s">
        <v>532</v>
      </c>
      <c r="M34" s="62" t="s">
        <v>532</v>
      </c>
      <c r="N34" s="62" t="s">
        <v>532</v>
      </c>
      <c r="O34" s="107" t="s">
        <v>532</v>
      </c>
      <c r="P34" s="107" t="s">
        <v>532</v>
      </c>
      <c r="Q34" s="62" t="s">
        <v>532</v>
      </c>
      <c r="R34" s="62" t="s">
        <v>532</v>
      </c>
      <c r="S34" s="62" t="s">
        <v>532</v>
      </c>
      <c r="T34" s="62" t="s">
        <v>532</v>
      </c>
      <c r="U34" s="107" t="s">
        <v>532</v>
      </c>
    </row>
    <row r="35" spans="1:21" ht="26" x14ac:dyDescent="0.35">
      <c r="A35" s="88"/>
      <c r="B35" s="62" t="s">
        <v>533</v>
      </c>
      <c r="C35" s="62" t="s">
        <v>534</v>
      </c>
      <c r="D35" s="62" t="s">
        <v>534</v>
      </c>
      <c r="E35" s="62" t="s">
        <v>534</v>
      </c>
      <c r="F35" s="62" t="s">
        <v>534</v>
      </c>
      <c r="G35" s="62" t="s">
        <v>534</v>
      </c>
      <c r="H35" s="62" t="s">
        <v>534</v>
      </c>
      <c r="I35" s="62" t="s">
        <v>534</v>
      </c>
      <c r="J35" s="62" t="s">
        <v>534</v>
      </c>
      <c r="K35" s="62" t="s">
        <v>534</v>
      </c>
      <c r="L35" s="62" t="s">
        <v>534</v>
      </c>
      <c r="M35" s="62" t="s">
        <v>534</v>
      </c>
      <c r="N35" s="62" t="s">
        <v>534</v>
      </c>
      <c r="O35" s="62" t="s">
        <v>534</v>
      </c>
      <c r="P35" s="62" t="s">
        <v>534</v>
      </c>
      <c r="Q35" s="62" t="s">
        <v>534</v>
      </c>
      <c r="R35" s="62" t="s">
        <v>534</v>
      </c>
      <c r="S35" s="62" t="s">
        <v>534</v>
      </c>
      <c r="T35" s="62" t="s">
        <v>534</v>
      </c>
      <c r="U35" s="62" t="s">
        <v>534</v>
      </c>
    </row>
    <row r="36" spans="1:21" x14ac:dyDescent="0.35">
      <c r="A36" s="63" t="s">
        <v>535</v>
      </c>
      <c r="B36" s="62" t="s">
        <v>536</v>
      </c>
      <c r="C36" s="62" t="s">
        <v>537</v>
      </c>
      <c r="D36" s="62" t="s">
        <v>537</v>
      </c>
      <c r="E36" s="62" t="s">
        <v>537</v>
      </c>
      <c r="F36" s="62" t="s">
        <v>537</v>
      </c>
      <c r="G36" s="62" t="s">
        <v>537</v>
      </c>
      <c r="H36" s="62" t="s">
        <v>537</v>
      </c>
      <c r="I36" s="62" t="s">
        <v>537</v>
      </c>
      <c r="J36" s="62" t="s">
        <v>537</v>
      </c>
      <c r="K36" s="62" t="s">
        <v>537</v>
      </c>
      <c r="L36" s="62" t="s">
        <v>537</v>
      </c>
      <c r="M36" s="62" t="s">
        <v>537</v>
      </c>
      <c r="N36" s="62" t="s">
        <v>537</v>
      </c>
      <c r="O36" s="107" t="s">
        <v>537</v>
      </c>
      <c r="P36" s="107" t="s">
        <v>537</v>
      </c>
      <c r="Q36" s="62" t="s">
        <v>537</v>
      </c>
      <c r="R36" s="62" t="s">
        <v>537</v>
      </c>
      <c r="S36" s="62" t="s">
        <v>537</v>
      </c>
      <c r="T36" s="62" t="s">
        <v>537</v>
      </c>
      <c r="U36" s="107" t="s">
        <v>537</v>
      </c>
    </row>
    <row r="37" spans="1:21" x14ac:dyDescent="0.35">
      <c r="A37" s="63" t="s">
        <v>538</v>
      </c>
      <c r="B37" s="62" t="s">
        <v>539</v>
      </c>
      <c r="C37" s="62" t="s">
        <v>537</v>
      </c>
      <c r="D37" s="62" t="s">
        <v>537</v>
      </c>
      <c r="E37" s="62" t="s">
        <v>537</v>
      </c>
      <c r="F37" s="62" t="s">
        <v>537</v>
      </c>
      <c r="G37" s="62" t="s">
        <v>537</v>
      </c>
      <c r="H37" s="62" t="s">
        <v>537</v>
      </c>
      <c r="I37" s="62" t="s">
        <v>537</v>
      </c>
      <c r="J37" s="62" t="s">
        <v>537</v>
      </c>
      <c r="K37" s="62" t="s">
        <v>537</v>
      </c>
      <c r="L37" s="62" t="s">
        <v>537</v>
      </c>
      <c r="M37" s="62" t="s">
        <v>537</v>
      </c>
      <c r="N37" s="62" t="s">
        <v>537</v>
      </c>
      <c r="O37" s="107" t="s">
        <v>537</v>
      </c>
      <c r="P37" s="107" t="s">
        <v>537</v>
      </c>
      <c r="Q37" s="62" t="s">
        <v>537</v>
      </c>
      <c r="R37" s="62" t="s">
        <v>537</v>
      </c>
      <c r="S37" s="62" t="s">
        <v>537</v>
      </c>
      <c r="T37" s="62" t="s">
        <v>537</v>
      </c>
      <c r="U37" s="107" t="s">
        <v>537</v>
      </c>
    </row>
    <row r="38" spans="1:21" x14ac:dyDescent="0.35">
      <c r="A38" s="63" t="s">
        <v>540</v>
      </c>
      <c r="B38" s="62" t="s">
        <v>541</v>
      </c>
      <c r="C38" s="62" t="s">
        <v>537</v>
      </c>
      <c r="D38" s="62" t="s">
        <v>537</v>
      </c>
      <c r="E38" s="62" t="s">
        <v>537</v>
      </c>
      <c r="F38" s="62" t="s">
        <v>537</v>
      </c>
      <c r="G38" s="62" t="s">
        <v>537</v>
      </c>
      <c r="H38" s="62" t="s">
        <v>537</v>
      </c>
      <c r="I38" s="62" t="s">
        <v>537</v>
      </c>
      <c r="J38" s="62" t="s">
        <v>537</v>
      </c>
      <c r="K38" s="62" t="s">
        <v>537</v>
      </c>
      <c r="L38" s="62" t="s">
        <v>537</v>
      </c>
      <c r="M38" s="62" t="s">
        <v>537</v>
      </c>
      <c r="N38" s="62" t="s">
        <v>537</v>
      </c>
      <c r="O38" s="107" t="s">
        <v>537</v>
      </c>
      <c r="P38" s="107" t="s">
        <v>537</v>
      </c>
      <c r="Q38" s="62" t="s">
        <v>537</v>
      </c>
      <c r="R38" s="62" t="s">
        <v>537</v>
      </c>
      <c r="S38" s="62" t="s">
        <v>537</v>
      </c>
      <c r="T38" s="62" t="s">
        <v>537</v>
      </c>
      <c r="U38" s="107" t="s">
        <v>537</v>
      </c>
    </row>
    <row r="39" spans="1:21" x14ac:dyDescent="0.35">
      <c r="A39" s="63" t="s">
        <v>542</v>
      </c>
      <c r="B39" s="62" t="s">
        <v>543</v>
      </c>
      <c r="C39" s="62" t="s">
        <v>537</v>
      </c>
      <c r="D39" s="62" t="s">
        <v>537</v>
      </c>
      <c r="E39" s="62" t="s">
        <v>537</v>
      </c>
      <c r="F39" s="62" t="s">
        <v>537</v>
      </c>
      <c r="G39" s="62" t="s">
        <v>537</v>
      </c>
      <c r="H39" s="62" t="s">
        <v>537</v>
      </c>
      <c r="I39" s="62" t="s">
        <v>537</v>
      </c>
      <c r="J39" s="62" t="s">
        <v>537</v>
      </c>
      <c r="K39" s="62" t="s">
        <v>537</v>
      </c>
      <c r="L39" s="62" t="s">
        <v>537</v>
      </c>
      <c r="M39" s="62" t="s">
        <v>537</v>
      </c>
      <c r="N39" s="62" t="s">
        <v>537</v>
      </c>
      <c r="O39" s="107" t="s">
        <v>537</v>
      </c>
      <c r="P39" s="107" t="s">
        <v>537</v>
      </c>
      <c r="Q39" s="62" t="s">
        <v>537</v>
      </c>
      <c r="R39" s="62" t="s">
        <v>537</v>
      </c>
      <c r="S39" s="62" t="s">
        <v>537</v>
      </c>
      <c r="T39" s="62" t="s">
        <v>537</v>
      </c>
      <c r="U39" s="107" t="s">
        <v>537</v>
      </c>
    </row>
    <row r="40" spans="1:21" x14ac:dyDescent="0.35">
      <c r="A40" s="63" t="s">
        <v>544</v>
      </c>
      <c r="B40" s="62" t="s">
        <v>545</v>
      </c>
      <c r="C40" s="62" t="s">
        <v>537</v>
      </c>
      <c r="D40" s="62" t="s">
        <v>537</v>
      </c>
      <c r="E40" s="62" t="s">
        <v>537</v>
      </c>
      <c r="F40" s="62" t="s">
        <v>537</v>
      </c>
      <c r="G40" s="62" t="s">
        <v>537</v>
      </c>
      <c r="H40" s="62" t="s">
        <v>537</v>
      </c>
      <c r="I40" s="62" t="s">
        <v>537</v>
      </c>
      <c r="J40" s="62" t="s">
        <v>537</v>
      </c>
      <c r="K40" s="62" t="s">
        <v>537</v>
      </c>
      <c r="L40" s="62" t="s">
        <v>537</v>
      </c>
      <c r="M40" s="62" t="s">
        <v>537</v>
      </c>
      <c r="N40" s="62" t="s">
        <v>537</v>
      </c>
      <c r="O40" s="107" t="s">
        <v>537</v>
      </c>
      <c r="P40" s="107" t="s">
        <v>537</v>
      </c>
      <c r="Q40" s="62" t="s">
        <v>537</v>
      </c>
      <c r="R40" s="62" t="s">
        <v>537</v>
      </c>
      <c r="S40" s="62" t="s">
        <v>537</v>
      </c>
      <c r="T40" s="62" t="s">
        <v>537</v>
      </c>
      <c r="U40" s="107" t="s">
        <v>537</v>
      </c>
    </row>
    <row r="41" spans="1:21" ht="156" x14ac:dyDescent="0.35">
      <c r="A41" s="87" t="s">
        <v>546</v>
      </c>
      <c r="B41" s="62" t="s">
        <v>547</v>
      </c>
      <c r="C41" s="62" t="s">
        <v>548</v>
      </c>
      <c r="D41" s="62" t="s">
        <v>549</v>
      </c>
      <c r="E41" s="62" t="s">
        <v>549</v>
      </c>
      <c r="F41" s="62" t="s">
        <v>549</v>
      </c>
      <c r="G41" s="62" t="s">
        <v>549</v>
      </c>
      <c r="H41" s="62" t="s">
        <v>549</v>
      </c>
      <c r="I41" s="62" t="s">
        <v>549</v>
      </c>
      <c r="J41" s="62" t="s">
        <v>549</v>
      </c>
      <c r="K41" s="62" t="s">
        <v>549</v>
      </c>
      <c r="L41" s="62" t="s">
        <v>549</v>
      </c>
      <c r="M41" s="62" t="s">
        <v>549</v>
      </c>
      <c r="N41" s="62" t="s">
        <v>549</v>
      </c>
      <c r="O41" s="107" t="s">
        <v>550</v>
      </c>
      <c r="P41" s="107" t="s">
        <v>550</v>
      </c>
      <c r="Q41" s="62" t="s">
        <v>551</v>
      </c>
      <c r="R41" s="62" t="s">
        <v>551</v>
      </c>
      <c r="S41" s="62" t="s">
        <v>551</v>
      </c>
      <c r="T41" s="62" t="s">
        <v>551</v>
      </c>
      <c r="U41" s="107" t="s">
        <v>552</v>
      </c>
    </row>
    <row r="42" spans="1:21" ht="377" x14ac:dyDescent="0.35">
      <c r="A42" s="88"/>
      <c r="B42" s="62" t="s">
        <v>553</v>
      </c>
      <c r="C42" s="62" t="s">
        <v>554</v>
      </c>
      <c r="D42" s="62" t="s">
        <v>555</v>
      </c>
      <c r="E42" s="62" t="s">
        <v>554</v>
      </c>
      <c r="F42" s="62" t="s">
        <v>554</v>
      </c>
      <c r="G42" s="62" t="s">
        <v>554</v>
      </c>
      <c r="H42" s="62" t="s">
        <v>554</v>
      </c>
      <c r="I42" s="62" t="s">
        <v>554</v>
      </c>
      <c r="J42" s="62" t="s">
        <v>554</v>
      </c>
      <c r="K42" s="62" t="s">
        <v>554</v>
      </c>
      <c r="L42" s="62" t="s">
        <v>554</v>
      </c>
      <c r="M42" s="62" t="s">
        <v>554</v>
      </c>
      <c r="N42" s="62" t="s">
        <v>554</v>
      </c>
      <c r="O42" s="107" t="s">
        <v>556</v>
      </c>
      <c r="P42" s="107" t="s">
        <v>556</v>
      </c>
      <c r="Q42" s="62" t="s">
        <v>557</v>
      </c>
      <c r="R42" s="62" t="s">
        <v>557</v>
      </c>
      <c r="S42" s="62" t="s">
        <v>557</v>
      </c>
      <c r="T42" s="62" t="s">
        <v>557</v>
      </c>
      <c r="U42" s="107" t="s">
        <v>558</v>
      </c>
    </row>
    <row r="43" spans="1:21" ht="377" x14ac:dyDescent="0.35">
      <c r="A43" s="88"/>
      <c r="B43" s="62" t="s">
        <v>559</v>
      </c>
      <c r="C43" s="62" t="s">
        <v>560</v>
      </c>
      <c r="D43" s="62" t="s">
        <v>560</v>
      </c>
      <c r="E43" s="62" t="s">
        <v>560</v>
      </c>
      <c r="F43" s="62" t="s">
        <v>560</v>
      </c>
      <c r="G43" s="62" t="s">
        <v>560</v>
      </c>
      <c r="H43" s="62" t="s">
        <v>560</v>
      </c>
      <c r="I43" s="62" t="s">
        <v>560</v>
      </c>
      <c r="J43" s="62" t="s">
        <v>560</v>
      </c>
      <c r="K43" s="62" t="s">
        <v>560</v>
      </c>
      <c r="L43" s="62" t="s">
        <v>560</v>
      </c>
      <c r="M43" s="62" t="s">
        <v>560</v>
      </c>
      <c r="N43" s="62" t="s">
        <v>560</v>
      </c>
      <c r="O43" s="107" t="s">
        <v>556</v>
      </c>
      <c r="P43" s="107" t="s">
        <v>556</v>
      </c>
      <c r="Q43" s="62" t="s">
        <v>561</v>
      </c>
      <c r="R43" s="62" t="s">
        <v>561</v>
      </c>
      <c r="S43" s="62" t="s">
        <v>561</v>
      </c>
      <c r="T43" s="62" t="s">
        <v>561</v>
      </c>
      <c r="U43" s="107" t="s">
        <v>562</v>
      </c>
    </row>
    <row r="44" spans="1:21" ht="78" x14ac:dyDescent="0.35">
      <c r="A44" s="88"/>
      <c r="B44" s="62" t="s">
        <v>563</v>
      </c>
      <c r="C44" s="62" t="s">
        <v>564</v>
      </c>
      <c r="D44" s="62" t="s">
        <v>564</v>
      </c>
      <c r="E44" s="62" t="s">
        <v>564</v>
      </c>
      <c r="F44" s="62" t="s">
        <v>564</v>
      </c>
      <c r="G44" s="62" t="s">
        <v>564</v>
      </c>
      <c r="H44" s="62" t="s">
        <v>564</v>
      </c>
      <c r="I44" s="62" t="s">
        <v>564</v>
      </c>
      <c r="J44" s="62" t="s">
        <v>564</v>
      </c>
      <c r="K44" s="62" t="s">
        <v>564</v>
      </c>
      <c r="L44" s="62" t="s">
        <v>564</v>
      </c>
      <c r="M44" s="62" t="s">
        <v>564</v>
      </c>
      <c r="N44" s="62" t="s">
        <v>564</v>
      </c>
      <c r="O44" s="107" t="s">
        <v>556</v>
      </c>
      <c r="P44" s="107" t="s">
        <v>556</v>
      </c>
      <c r="Q44" s="62" t="s">
        <v>564</v>
      </c>
      <c r="R44" s="62" t="s">
        <v>564</v>
      </c>
      <c r="S44" s="62" t="s">
        <v>564</v>
      </c>
      <c r="T44" s="62" t="s">
        <v>564</v>
      </c>
      <c r="U44" s="107" t="s">
        <v>562</v>
      </c>
    </row>
    <row r="45" spans="1:21" ht="286" x14ac:dyDescent="0.35">
      <c r="A45" s="88"/>
      <c r="B45" s="62" t="s">
        <v>565</v>
      </c>
      <c r="C45" s="62" t="s">
        <v>566</v>
      </c>
      <c r="D45" s="62" t="s">
        <v>566</v>
      </c>
      <c r="E45" s="62" t="s">
        <v>566</v>
      </c>
      <c r="F45" s="62" t="s">
        <v>566</v>
      </c>
      <c r="G45" s="62" t="s">
        <v>566</v>
      </c>
      <c r="H45" s="62" t="s">
        <v>566</v>
      </c>
      <c r="I45" s="62" t="s">
        <v>566</v>
      </c>
      <c r="J45" s="62" t="s">
        <v>566</v>
      </c>
      <c r="K45" s="62" t="s">
        <v>566</v>
      </c>
      <c r="L45" s="62" t="s">
        <v>566</v>
      </c>
      <c r="M45" s="62" t="s">
        <v>566</v>
      </c>
      <c r="N45" s="62" t="s">
        <v>566</v>
      </c>
      <c r="O45" s="107" t="s">
        <v>628</v>
      </c>
      <c r="P45" s="107" t="s">
        <v>629</v>
      </c>
      <c r="Q45" s="62" t="s">
        <v>630</v>
      </c>
      <c r="R45" s="62" t="s">
        <v>630</v>
      </c>
      <c r="S45" s="62" t="s">
        <v>630</v>
      </c>
      <c r="T45" s="62" t="s">
        <v>630</v>
      </c>
      <c r="U45" s="107" t="s">
        <v>567</v>
      </c>
    </row>
    <row r="46" spans="1:21" ht="169" x14ac:dyDescent="0.35">
      <c r="A46" s="88"/>
      <c r="B46" s="62" t="s">
        <v>568</v>
      </c>
      <c r="C46" s="62" t="s">
        <v>569</v>
      </c>
      <c r="D46" s="62" t="s">
        <v>569</v>
      </c>
      <c r="E46" s="62" t="s">
        <v>569</v>
      </c>
      <c r="F46" s="62" t="s">
        <v>569</v>
      </c>
      <c r="G46" s="62" t="s">
        <v>569</v>
      </c>
      <c r="H46" s="62" t="s">
        <v>569</v>
      </c>
      <c r="I46" s="62" t="s">
        <v>569</v>
      </c>
      <c r="J46" s="62" t="s">
        <v>569</v>
      </c>
      <c r="K46" s="62" t="s">
        <v>569</v>
      </c>
      <c r="L46" s="62" t="s">
        <v>569</v>
      </c>
      <c r="M46" s="62" t="s">
        <v>569</v>
      </c>
      <c r="N46" s="62" t="s">
        <v>569</v>
      </c>
      <c r="O46" s="107" t="s">
        <v>570</v>
      </c>
      <c r="P46" s="107" t="s">
        <v>570</v>
      </c>
      <c r="Q46" s="62" t="s">
        <v>631</v>
      </c>
      <c r="R46" s="62" t="s">
        <v>631</v>
      </c>
      <c r="S46" s="62" t="s">
        <v>631</v>
      </c>
      <c r="T46" s="62" t="s">
        <v>631</v>
      </c>
      <c r="U46" s="107" t="s">
        <v>571</v>
      </c>
    </row>
    <row r="47" spans="1:21" ht="91" x14ac:dyDescent="0.35">
      <c r="A47" s="88"/>
      <c r="B47" s="62" t="s">
        <v>572</v>
      </c>
      <c r="C47" s="62" t="s">
        <v>632</v>
      </c>
      <c r="D47" s="62" t="s">
        <v>632</v>
      </c>
      <c r="E47" s="62" t="s">
        <v>632</v>
      </c>
      <c r="F47" s="62" t="s">
        <v>632</v>
      </c>
      <c r="G47" s="62" t="s">
        <v>632</v>
      </c>
      <c r="H47" s="62" t="s">
        <v>632</v>
      </c>
      <c r="I47" s="62" t="s">
        <v>632</v>
      </c>
      <c r="J47" s="62" t="s">
        <v>632</v>
      </c>
      <c r="K47" s="62" t="s">
        <v>632</v>
      </c>
      <c r="L47" s="62" t="s">
        <v>632</v>
      </c>
      <c r="M47" s="62" t="s">
        <v>632</v>
      </c>
      <c r="N47" s="62" t="s">
        <v>632</v>
      </c>
      <c r="O47" s="107" t="s">
        <v>633</v>
      </c>
      <c r="P47" s="107" t="s">
        <v>633</v>
      </c>
      <c r="Q47" s="62" t="s">
        <v>632</v>
      </c>
      <c r="R47" s="62" t="s">
        <v>632</v>
      </c>
      <c r="S47" s="62" t="s">
        <v>632</v>
      </c>
      <c r="T47" s="62" t="s">
        <v>632</v>
      </c>
      <c r="U47" s="107" t="s">
        <v>573</v>
      </c>
    </row>
    <row r="48" spans="1:21" ht="247" x14ac:dyDescent="0.35">
      <c r="A48" s="88"/>
      <c r="B48" s="62" t="s">
        <v>574</v>
      </c>
      <c r="C48" s="62" t="s">
        <v>575</v>
      </c>
      <c r="D48" s="62" t="s">
        <v>575</v>
      </c>
      <c r="E48" s="62" t="s">
        <v>575</v>
      </c>
      <c r="F48" s="62" t="s">
        <v>575</v>
      </c>
      <c r="G48" s="62" t="s">
        <v>575</v>
      </c>
      <c r="H48" s="62" t="s">
        <v>575</v>
      </c>
      <c r="I48" s="62" t="s">
        <v>575</v>
      </c>
      <c r="J48" s="62" t="s">
        <v>575</v>
      </c>
      <c r="K48" s="62" t="s">
        <v>575</v>
      </c>
      <c r="L48" s="62" t="s">
        <v>575</v>
      </c>
      <c r="M48" s="62" t="s">
        <v>575</v>
      </c>
      <c r="N48" s="62" t="s">
        <v>575</v>
      </c>
      <c r="O48" s="107" t="s">
        <v>576</v>
      </c>
      <c r="P48" s="107" t="s">
        <v>576</v>
      </c>
      <c r="Q48" s="62" t="s">
        <v>577</v>
      </c>
      <c r="R48" s="62" t="s">
        <v>577</v>
      </c>
      <c r="S48" s="62" t="s">
        <v>577</v>
      </c>
      <c r="T48" s="62" t="s">
        <v>577</v>
      </c>
      <c r="U48" s="107" t="s">
        <v>578</v>
      </c>
    </row>
    <row r="49" spans="1:21" ht="403" x14ac:dyDescent="0.35">
      <c r="A49" s="89" t="s">
        <v>579</v>
      </c>
      <c r="B49" s="62" t="s">
        <v>580</v>
      </c>
      <c r="C49" s="62" t="s">
        <v>581</v>
      </c>
      <c r="D49" s="62" t="s">
        <v>581</v>
      </c>
      <c r="E49" s="62" t="s">
        <v>581</v>
      </c>
      <c r="F49" s="62" t="s">
        <v>581</v>
      </c>
      <c r="G49" s="62" t="s">
        <v>581</v>
      </c>
      <c r="H49" s="62" t="s">
        <v>581</v>
      </c>
      <c r="I49" s="62" t="s">
        <v>581</v>
      </c>
      <c r="J49" s="62" t="s">
        <v>581</v>
      </c>
      <c r="K49" s="62" t="s">
        <v>581</v>
      </c>
      <c r="L49" s="62" t="s">
        <v>581</v>
      </c>
      <c r="M49" s="62" t="s">
        <v>581</v>
      </c>
      <c r="N49" s="62" t="s">
        <v>581</v>
      </c>
      <c r="O49" s="62" t="s">
        <v>581</v>
      </c>
      <c r="P49" s="62" t="s">
        <v>581</v>
      </c>
      <c r="Q49" s="62" t="s">
        <v>581</v>
      </c>
      <c r="R49" s="62" t="s">
        <v>581</v>
      </c>
      <c r="S49" s="62" t="s">
        <v>581</v>
      </c>
      <c r="T49" s="62" t="s">
        <v>581</v>
      </c>
      <c r="U49" s="62" t="s">
        <v>581</v>
      </c>
    </row>
    <row r="50" spans="1:21" ht="260" x14ac:dyDescent="0.35">
      <c r="A50" s="90"/>
      <c r="B50" s="62" t="s">
        <v>582</v>
      </c>
      <c r="C50" s="62" t="s">
        <v>634</v>
      </c>
      <c r="D50" s="62" t="s">
        <v>634</v>
      </c>
      <c r="E50" s="62" t="s">
        <v>634</v>
      </c>
      <c r="F50" s="62" t="s">
        <v>634</v>
      </c>
      <c r="G50" s="62" t="s">
        <v>634</v>
      </c>
      <c r="H50" s="62" t="s">
        <v>634</v>
      </c>
      <c r="I50" s="62" t="s">
        <v>634</v>
      </c>
      <c r="J50" s="62" t="s">
        <v>634</v>
      </c>
      <c r="K50" s="62" t="s">
        <v>634</v>
      </c>
      <c r="L50" s="62" t="s">
        <v>634</v>
      </c>
      <c r="M50" s="62" t="s">
        <v>634</v>
      </c>
      <c r="N50" s="62" t="s">
        <v>634</v>
      </c>
      <c r="O50" s="62" t="s">
        <v>634</v>
      </c>
      <c r="P50" s="62" t="s">
        <v>634</v>
      </c>
      <c r="Q50" s="62" t="s">
        <v>634</v>
      </c>
      <c r="R50" s="62" t="s">
        <v>634</v>
      </c>
      <c r="S50" s="62" t="s">
        <v>634</v>
      </c>
      <c r="T50" s="62" t="s">
        <v>634</v>
      </c>
      <c r="U50" s="62" t="s">
        <v>634</v>
      </c>
    </row>
    <row r="51" spans="1:21" ht="156" x14ac:dyDescent="0.35">
      <c r="A51" s="91"/>
      <c r="B51" s="62" t="s">
        <v>583</v>
      </c>
      <c r="C51" s="62" t="s">
        <v>584</v>
      </c>
      <c r="D51" s="62" t="s">
        <v>584</v>
      </c>
      <c r="E51" s="62" t="s">
        <v>584</v>
      </c>
      <c r="F51" s="62" t="s">
        <v>584</v>
      </c>
      <c r="G51" s="62" t="s">
        <v>584</v>
      </c>
      <c r="H51" s="62" t="s">
        <v>584</v>
      </c>
      <c r="I51" s="62" t="s">
        <v>584</v>
      </c>
      <c r="J51" s="62" t="s">
        <v>584</v>
      </c>
      <c r="K51" s="62" t="s">
        <v>584</v>
      </c>
      <c r="L51" s="62" t="s">
        <v>584</v>
      </c>
      <c r="M51" s="62" t="s">
        <v>584</v>
      </c>
      <c r="N51" s="62" t="s">
        <v>584</v>
      </c>
      <c r="O51" s="62" t="s">
        <v>584</v>
      </c>
      <c r="P51" s="62" t="s">
        <v>584</v>
      </c>
      <c r="Q51" s="62" t="s">
        <v>584</v>
      </c>
      <c r="R51" s="62" t="s">
        <v>584</v>
      </c>
      <c r="S51" s="62" t="s">
        <v>584</v>
      </c>
      <c r="T51" s="62" t="s">
        <v>584</v>
      </c>
      <c r="U51" s="62" t="s">
        <v>584</v>
      </c>
    </row>
    <row r="52" spans="1:21" ht="390" x14ac:dyDescent="0.35">
      <c r="A52" s="60" t="s">
        <v>585</v>
      </c>
      <c r="B52" s="66" t="s">
        <v>586</v>
      </c>
      <c r="C52" s="62" t="s">
        <v>587</v>
      </c>
      <c r="D52" s="62" t="s">
        <v>587</v>
      </c>
      <c r="E52" s="62" t="s">
        <v>587</v>
      </c>
      <c r="F52" s="62" t="s">
        <v>587</v>
      </c>
      <c r="G52" s="62" t="s">
        <v>587</v>
      </c>
      <c r="H52" s="62" t="s">
        <v>587</v>
      </c>
      <c r="I52" s="62" t="s">
        <v>587</v>
      </c>
      <c r="J52" s="62" t="s">
        <v>587</v>
      </c>
      <c r="K52" s="62" t="s">
        <v>587</v>
      </c>
      <c r="L52" s="62" t="s">
        <v>587</v>
      </c>
      <c r="M52" s="62" t="s">
        <v>587</v>
      </c>
      <c r="N52" s="62" t="s">
        <v>587</v>
      </c>
      <c r="O52" s="62" t="s">
        <v>587</v>
      </c>
      <c r="P52" s="62" t="s">
        <v>587</v>
      </c>
      <c r="Q52" s="62" t="s">
        <v>587</v>
      </c>
      <c r="R52" s="62" t="s">
        <v>587</v>
      </c>
      <c r="S52" s="62" t="s">
        <v>587</v>
      </c>
      <c r="T52" s="62" t="s">
        <v>587</v>
      </c>
      <c r="U52" s="62" t="s">
        <v>587</v>
      </c>
    </row>
    <row r="53" spans="1:21" ht="65" x14ac:dyDescent="0.35">
      <c r="A53" s="87" t="s">
        <v>588</v>
      </c>
      <c r="B53" s="66" t="s">
        <v>589</v>
      </c>
      <c r="C53" s="66" t="s">
        <v>590</v>
      </c>
      <c r="D53" s="66" t="s">
        <v>590</v>
      </c>
      <c r="E53" s="66" t="s">
        <v>590</v>
      </c>
      <c r="F53" s="66" t="s">
        <v>590</v>
      </c>
      <c r="G53" s="66" t="s">
        <v>590</v>
      </c>
      <c r="H53" s="66" t="s">
        <v>590</v>
      </c>
      <c r="I53" s="66" t="s">
        <v>590</v>
      </c>
      <c r="J53" s="66" t="s">
        <v>590</v>
      </c>
      <c r="K53" s="66" t="s">
        <v>590</v>
      </c>
      <c r="L53" s="66" t="s">
        <v>590</v>
      </c>
      <c r="M53" s="66" t="s">
        <v>590</v>
      </c>
      <c r="N53" s="66" t="s">
        <v>590</v>
      </c>
      <c r="O53" s="109" t="s">
        <v>590</v>
      </c>
      <c r="P53" s="109" t="s">
        <v>590</v>
      </c>
      <c r="Q53" s="66" t="s">
        <v>590</v>
      </c>
      <c r="R53" s="66" t="s">
        <v>590</v>
      </c>
      <c r="S53" s="66" t="s">
        <v>590</v>
      </c>
      <c r="T53" s="66" t="s">
        <v>590</v>
      </c>
      <c r="U53" s="109" t="s">
        <v>590</v>
      </c>
    </row>
    <row r="54" spans="1:21" ht="260" x14ac:dyDescent="0.35">
      <c r="A54" s="88"/>
      <c r="B54" s="66" t="s">
        <v>591</v>
      </c>
      <c r="C54" s="66" t="s">
        <v>592</v>
      </c>
      <c r="D54" s="66" t="s">
        <v>592</v>
      </c>
      <c r="E54" s="66" t="s">
        <v>592</v>
      </c>
      <c r="F54" s="66" t="s">
        <v>592</v>
      </c>
      <c r="G54" s="66" t="s">
        <v>592</v>
      </c>
      <c r="H54" s="66" t="s">
        <v>592</v>
      </c>
      <c r="I54" s="66" t="s">
        <v>592</v>
      </c>
      <c r="J54" s="66" t="s">
        <v>592</v>
      </c>
      <c r="K54" s="66" t="s">
        <v>592</v>
      </c>
      <c r="L54" s="66" t="s">
        <v>592</v>
      </c>
      <c r="M54" s="66" t="s">
        <v>592</v>
      </c>
      <c r="N54" s="66" t="s">
        <v>592</v>
      </c>
      <c r="O54" s="109" t="s">
        <v>592</v>
      </c>
      <c r="P54" s="109" t="s">
        <v>592</v>
      </c>
      <c r="Q54" s="66" t="s">
        <v>592</v>
      </c>
      <c r="R54" s="66" t="s">
        <v>592</v>
      </c>
      <c r="S54" s="66" t="s">
        <v>592</v>
      </c>
      <c r="T54" s="66" t="s">
        <v>592</v>
      </c>
      <c r="U54" s="109" t="s">
        <v>592</v>
      </c>
    </row>
    <row r="55" spans="1:21" ht="130" x14ac:dyDescent="0.35">
      <c r="A55" s="88"/>
      <c r="B55" s="66" t="s">
        <v>593</v>
      </c>
      <c r="C55" s="66" t="s">
        <v>594</v>
      </c>
      <c r="D55" s="66" t="s">
        <v>594</v>
      </c>
      <c r="E55" s="66" t="s">
        <v>594</v>
      </c>
      <c r="F55" s="66" t="s">
        <v>594</v>
      </c>
      <c r="G55" s="66" t="s">
        <v>594</v>
      </c>
      <c r="H55" s="66" t="s">
        <v>594</v>
      </c>
      <c r="I55" s="66" t="s">
        <v>594</v>
      </c>
      <c r="J55" s="66" t="s">
        <v>594</v>
      </c>
      <c r="K55" s="66" t="s">
        <v>594</v>
      </c>
      <c r="L55" s="66" t="s">
        <v>594</v>
      </c>
      <c r="M55" s="66" t="s">
        <v>594</v>
      </c>
      <c r="N55" s="66" t="s">
        <v>594</v>
      </c>
      <c r="O55" s="66" t="s">
        <v>594</v>
      </c>
      <c r="P55" s="66" t="s">
        <v>594</v>
      </c>
      <c r="Q55" s="66" t="s">
        <v>594</v>
      </c>
      <c r="R55" s="66" t="s">
        <v>594</v>
      </c>
      <c r="S55" s="66" t="s">
        <v>594</v>
      </c>
      <c r="T55" s="66" t="s">
        <v>594</v>
      </c>
      <c r="U55" s="66" t="s">
        <v>594</v>
      </c>
    </row>
    <row r="56" spans="1:21" ht="409.5" x14ac:dyDescent="0.35">
      <c r="A56" s="88"/>
      <c r="B56" s="66" t="s">
        <v>595</v>
      </c>
      <c r="C56" s="66" t="s">
        <v>596</v>
      </c>
      <c r="D56" s="66" t="s">
        <v>596</v>
      </c>
      <c r="E56" s="66" t="s">
        <v>596</v>
      </c>
      <c r="F56" s="66" t="s">
        <v>596</v>
      </c>
      <c r="G56" s="66" t="s">
        <v>596</v>
      </c>
      <c r="H56" s="66" t="s">
        <v>596</v>
      </c>
      <c r="I56" s="66" t="s">
        <v>596</v>
      </c>
      <c r="J56" s="66" t="s">
        <v>596</v>
      </c>
      <c r="K56" s="66" t="s">
        <v>596</v>
      </c>
      <c r="L56" s="66" t="s">
        <v>596</v>
      </c>
      <c r="M56" s="66" t="s">
        <v>596</v>
      </c>
      <c r="N56" s="66" t="s">
        <v>596</v>
      </c>
      <c r="O56" s="109" t="s">
        <v>596</v>
      </c>
      <c r="P56" s="109" t="s">
        <v>596</v>
      </c>
      <c r="Q56" s="66" t="s">
        <v>596</v>
      </c>
      <c r="R56" s="66" t="s">
        <v>596</v>
      </c>
      <c r="S56" s="66" t="s">
        <v>596</v>
      </c>
      <c r="T56" s="66" t="s">
        <v>596</v>
      </c>
      <c r="U56" s="109" t="s">
        <v>596</v>
      </c>
    </row>
    <row r="57" spans="1:21" ht="325" x14ac:dyDescent="0.35">
      <c r="A57" s="88"/>
      <c r="B57" s="66" t="s">
        <v>597</v>
      </c>
      <c r="C57" s="66" t="s">
        <v>598</v>
      </c>
      <c r="D57" s="66" t="s">
        <v>598</v>
      </c>
      <c r="E57" s="66" t="s">
        <v>598</v>
      </c>
      <c r="F57" s="66" t="s">
        <v>598</v>
      </c>
      <c r="G57" s="66" t="s">
        <v>598</v>
      </c>
      <c r="H57" s="66" t="s">
        <v>598</v>
      </c>
      <c r="I57" s="66" t="s">
        <v>598</v>
      </c>
      <c r="J57" s="66" t="s">
        <v>598</v>
      </c>
      <c r="K57" s="66" t="s">
        <v>598</v>
      </c>
      <c r="L57" s="66" t="s">
        <v>598</v>
      </c>
      <c r="M57" s="66" t="s">
        <v>598</v>
      </c>
      <c r="N57" s="66" t="s">
        <v>598</v>
      </c>
      <c r="O57" s="66" t="s">
        <v>598</v>
      </c>
      <c r="P57" s="66" t="s">
        <v>598</v>
      </c>
      <c r="Q57" s="66" t="s">
        <v>598</v>
      </c>
      <c r="R57" s="66" t="s">
        <v>598</v>
      </c>
      <c r="S57" s="66" t="s">
        <v>598</v>
      </c>
      <c r="T57" s="66" t="s">
        <v>598</v>
      </c>
      <c r="U57" s="66" t="s">
        <v>598</v>
      </c>
    </row>
    <row r="58" spans="1:21" ht="409.5" x14ac:dyDescent="0.35">
      <c r="A58" s="88"/>
      <c r="B58" s="66" t="s">
        <v>599</v>
      </c>
      <c r="C58" s="66" t="s">
        <v>600</v>
      </c>
      <c r="D58" s="66" t="s">
        <v>600</v>
      </c>
      <c r="E58" s="66" t="s">
        <v>600</v>
      </c>
      <c r="F58" s="66" t="s">
        <v>600</v>
      </c>
      <c r="G58" s="66" t="s">
        <v>600</v>
      </c>
      <c r="H58" s="66" t="s">
        <v>600</v>
      </c>
      <c r="I58" s="66" t="s">
        <v>600</v>
      </c>
      <c r="J58" s="66" t="s">
        <v>600</v>
      </c>
      <c r="K58" s="66" t="s">
        <v>600</v>
      </c>
      <c r="L58" s="66" t="s">
        <v>600</v>
      </c>
      <c r="M58" s="66" t="s">
        <v>600</v>
      </c>
      <c r="N58" s="66" t="s">
        <v>600</v>
      </c>
      <c r="O58" s="109" t="s">
        <v>600</v>
      </c>
      <c r="P58" s="109" t="s">
        <v>600</v>
      </c>
      <c r="Q58" s="66" t="s">
        <v>600</v>
      </c>
      <c r="R58" s="66" t="s">
        <v>600</v>
      </c>
      <c r="S58" s="66" t="s">
        <v>600</v>
      </c>
      <c r="T58" s="66" t="s">
        <v>600</v>
      </c>
      <c r="U58" s="109" t="s">
        <v>600</v>
      </c>
    </row>
    <row r="59" spans="1:21" ht="312" x14ac:dyDescent="0.35">
      <c r="A59" s="88"/>
      <c r="B59" s="66" t="s">
        <v>601</v>
      </c>
      <c r="C59" s="66" t="s">
        <v>602</v>
      </c>
      <c r="D59" s="66" t="s">
        <v>602</v>
      </c>
      <c r="E59" s="66" t="s">
        <v>602</v>
      </c>
      <c r="F59" s="66" t="s">
        <v>602</v>
      </c>
      <c r="G59" s="66" t="s">
        <v>602</v>
      </c>
      <c r="H59" s="66" t="s">
        <v>602</v>
      </c>
      <c r="I59" s="66" t="s">
        <v>602</v>
      </c>
      <c r="J59" s="66" t="s">
        <v>602</v>
      </c>
      <c r="K59" s="66" t="s">
        <v>602</v>
      </c>
      <c r="L59" s="66" t="s">
        <v>602</v>
      </c>
      <c r="M59" s="66" t="s">
        <v>602</v>
      </c>
      <c r="N59" s="66" t="s">
        <v>602</v>
      </c>
      <c r="O59" s="109" t="s">
        <v>602</v>
      </c>
      <c r="P59" s="109" t="s">
        <v>602</v>
      </c>
      <c r="Q59" s="66" t="s">
        <v>602</v>
      </c>
      <c r="R59" s="66" t="s">
        <v>602</v>
      </c>
      <c r="S59" s="66" t="s">
        <v>602</v>
      </c>
      <c r="T59" s="66" t="s">
        <v>602</v>
      </c>
      <c r="U59" s="109" t="s">
        <v>602</v>
      </c>
    </row>
    <row r="60" spans="1:21" ht="117" x14ac:dyDescent="0.35">
      <c r="A60" s="88"/>
      <c r="B60" s="66" t="s">
        <v>603</v>
      </c>
      <c r="C60" s="66" t="s">
        <v>635</v>
      </c>
      <c r="D60" s="66" t="s">
        <v>635</v>
      </c>
      <c r="E60" s="66" t="s">
        <v>635</v>
      </c>
      <c r="F60" s="66" t="s">
        <v>635</v>
      </c>
      <c r="G60" s="66" t="s">
        <v>635</v>
      </c>
      <c r="H60" s="66" t="s">
        <v>635</v>
      </c>
      <c r="I60" s="66" t="s">
        <v>635</v>
      </c>
      <c r="J60" s="66" t="s">
        <v>635</v>
      </c>
      <c r="K60" s="66" t="s">
        <v>635</v>
      </c>
      <c r="L60" s="66" t="s">
        <v>635</v>
      </c>
      <c r="M60" s="66" t="s">
        <v>635</v>
      </c>
      <c r="N60" s="66" t="s">
        <v>635</v>
      </c>
      <c r="O60" s="109" t="s">
        <v>635</v>
      </c>
      <c r="P60" s="109" t="s">
        <v>635</v>
      </c>
      <c r="Q60" s="66" t="s">
        <v>635</v>
      </c>
      <c r="R60" s="66" t="s">
        <v>635</v>
      </c>
      <c r="S60" s="66" t="s">
        <v>635</v>
      </c>
      <c r="T60" s="66" t="s">
        <v>635</v>
      </c>
      <c r="U60" s="109" t="s">
        <v>635</v>
      </c>
    </row>
    <row r="61" spans="1:21" ht="351" x14ac:dyDescent="0.35">
      <c r="A61" s="88"/>
      <c r="B61" s="66" t="s">
        <v>604</v>
      </c>
      <c r="C61" s="66" t="s">
        <v>605</v>
      </c>
      <c r="D61" s="66" t="s">
        <v>605</v>
      </c>
      <c r="E61" s="66" t="s">
        <v>605</v>
      </c>
      <c r="F61" s="66" t="s">
        <v>605</v>
      </c>
      <c r="G61" s="66" t="s">
        <v>605</v>
      </c>
      <c r="H61" s="66" t="s">
        <v>605</v>
      </c>
      <c r="I61" s="66" t="s">
        <v>605</v>
      </c>
      <c r="J61" s="66" t="s">
        <v>605</v>
      </c>
      <c r="K61" s="66" t="s">
        <v>605</v>
      </c>
      <c r="L61" s="66" t="s">
        <v>605</v>
      </c>
      <c r="M61" s="66" t="s">
        <v>605</v>
      </c>
      <c r="N61" s="66" t="s">
        <v>605</v>
      </c>
      <c r="O61" s="109" t="s">
        <v>605</v>
      </c>
      <c r="P61" s="109" t="s">
        <v>605</v>
      </c>
      <c r="Q61" s="66" t="s">
        <v>605</v>
      </c>
      <c r="R61" s="66" t="s">
        <v>605</v>
      </c>
      <c r="S61" s="66" t="s">
        <v>605</v>
      </c>
      <c r="T61" s="66" t="s">
        <v>605</v>
      </c>
      <c r="U61" s="109" t="s">
        <v>605</v>
      </c>
    </row>
    <row r="62" spans="1:21" ht="143" x14ac:dyDescent="0.35">
      <c r="A62" s="92"/>
      <c r="B62" s="66" t="s">
        <v>606</v>
      </c>
      <c r="C62" s="66" t="s">
        <v>607</v>
      </c>
      <c r="D62" s="66" t="s">
        <v>607</v>
      </c>
      <c r="E62" s="66" t="s">
        <v>607</v>
      </c>
      <c r="F62" s="66" t="s">
        <v>607</v>
      </c>
      <c r="G62" s="66" t="s">
        <v>607</v>
      </c>
      <c r="H62" s="66" t="s">
        <v>607</v>
      </c>
      <c r="I62" s="66" t="s">
        <v>607</v>
      </c>
      <c r="J62" s="66" t="s">
        <v>607</v>
      </c>
      <c r="K62" s="66" t="s">
        <v>607</v>
      </c>
      <c r="L62" s="66" t="s">
        <v>607</v>
      </c>
      <c r="M62" s="66" t="s">
        <v>607</v>
      </c>
      <c r="N62" s="66" t="s">
        <v>607</v>
      </c>
      <c r="O62" s="109" t="s">
        <v>607</v>
      </c>
      <c r="P62" s="109" t="s">
        <v>607</v>
      </c>
      <c r="Q62" s="66" t="s">
        <v>607</v>
      </c>
      <c r="R62" s="66" t="s">
        <v>607</v>
      </c>
      <c r="S62" s="66" t="s">
        <v>607</v>
      </c>
      <c r="T62" s="66" t="s">
        <v>607</v>
      </c>
      <c r="U62" s="109" t="s">
        <v>607</v>
      </c>
    </row>
    <row r="63" spans="1:21" x14ac:dyDescent="0.35">
      <c r="A63" s="60" t="s">
        <v>608</v>
      </c>
      <c r="B63" s="66" t="s">
        <v>609</v>
      </c>
      <c r="C63" s="66" t="s">
        <v>537</v>
      </c>
      <c r="D63" s="66" t="s">
        <v>537</v>
      </c>
      <c r="E63" s="66" t="s">
        <v>537</v>
      </c>
      <c r="F63" s="66" t="s">
        <v>537</v>
      </c>
      <c r="G63" s="66" t="s">
        <v>537</v>
      </c>
      <c r="H63" s="66" t="s">
        <v>537</v>
      </c>
      <c r="I63" s="66" t="s">
        <v>537</v>
      </c>
      <c r="J63" s="66" t="s">
        <v>537</v>
      </c>
      <c r="K63" s="66" t="s">
        <v>537</v>
      </c>
      <c r="L63" s="66" t="s">
        <v>537</v>
      </c>
      <c r="M63" s="66" t="s">
        <v>537</v>
      </c>
      <c r="N63" s="66" t="s">
        <v>537</v>
      </c>
      <c r="O63" s="109" t="s">
        <v>537</v>
      </c>
      <c r="P63" s="109" t="s">
        <v>537</v>
      </c>
      <c r="Q63" s="66" t="s">
        <v>537</v>
      </c>
      <c r="R63" s="66" t="s">
        <v>537</v>
      </c>
      <c r="S63" s="66" t="s">
        <v>537</v>
      </c>
      <c r="T63" s="66" t="s">
        <v>537</v>
      </c>
      <c r="U63" s="109" t="s">
        <v>537</v>
      </c>
    </row>
    <row r="64" spans="1:21" ht="409.5" x14ac:dyDescent="0.35">
      <c r="A64" s="60" t="s">
        <v>610</v>
      </c>
      <c r="B64" s="66" t="s">
        <v>611</v>
      </c>
      <c r="C64" s="66" t="s">
        <v>612</v>
      </c>
      <c r="D64" s="66" t="s">
        <v>612</v>
      </c>
      <c r="E64" s="66" t="s">
        <v>612</v>
      </c>
      <c r="F64" s="66" t="s">
        <v>612</v>
      </c>
      <c r="G64" s="66" t="s">
        <v>612</v>
      </c>
      <c r="H64" s="66" t="s">
        <v>612</v>
      </c>
      <c r="I64" s="66" t="s">
        <v>612</v>
      </c>
      <c r="J64" s="66" t="s">
        <v>612</v>
      </c>
      <c r="K64" s="66" t="s">
        <v>612</v>
      </c>
      <c r="L64" s="66" t="s">
        <v>612</v>
      </c>
      <c r="M64" s="66" t="s">
        <v>612</v>
      </c>
      <c r="N64" s="66" t="s">
        <v>612</v>
      </c>
      <c r="O64" s="66" t="s">
        <v>612</v>
      </c>
      <c r="P64" s="66" t="s">
        <v>612</v>
      </c>
      <c r="Q64" s="66" t="s">
        <v>612</v>
      </c>
      <c r="R64" s="66" t="s">
        <v>612</v>
      </c>
      <c r="S64" s="66" t="s">
        <v>612</v>
      </c>
      <c r="T64" s="66" t="s">
        <v>612</v>
      </c>
      <c r="U64" s="66" t="s">
        <v>612</v>
      </c>
    </row>
    <row r="65" spans="1:21" ht="104" x14ac:dyDescent="0.35">
      <c r="A65" s="63" t="s">
        <v>613</v>
      </c>
      <c r="B65" s="62" t="s">
        <v>614</v>
      </c>
      <c r="C65" s="62" t="s">
        <v>615</v>
      </c>
      <c r="D65" s="62" t="s">
        <v>615</v>
      </c>
      <c r="E65" s="62" t="s">
        <v>615</v>
      </c>
      <c r="F65" s="62" t="s">
        <v>615</v>
      </c>
      <c r="G65" s="62" t="s">
        <v>615</v>
      </c>
      <c r="H65" s="62" t="s">
        <v>615</v>
      </c>
      <c r="I65" s="62" t="s">
        <v>615</v>
      </c>
      <c r="J65" s="62" t="s">
        <v>615</v>
      </c>
      <c r="K65" s="62" t="s">
        <v>615</v>
      </c>
      <c r="L65" s="62" t="s">
        <v>615</v>
      </c>
      <c r="M65" s="62" t="s">
        <v>615</v>
      </c>
      <c r="N65" s="62" t="s">
        <v>615</v>
      </c>
      <c r="O65" s="107" t="s">
        <v>615</v>
      </c>
      <c r="P65" s="107" t="s">
        <v>615</v>
      </c>
      <c r="Q65" s="62" t="s">
        <v>615</v>
      </c>
      <c r="R65" s="62" t="s">
        <v>615</v>
      </c>
      <c r="S65" s="62" t="s">
        <v>615</v>
      </c>
      <c r="T65" s="62" t="s">
        <v>615</v>
      </c>
      <c r="U65" s="107" t="s">
        <v>615</v>
      </c>
    </row>
  </sheetData>
  <mergeCells count="5">
    <mergeCell ref="A3:A4"/>
    <mergeCell ref="A5:A35"/>
    <mergeCell ref="A41:A48"/>
    <mergeCell ref="A49:A51"/>
    <mergeCell ref="A53:A6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FDF4F-AC7C-4315-8751-029FF6E7F296}">
  <dimension ref="B3:C16"/>
  <sheetViews>
    <sheetView zoomScale="90" zoomScaleNormal="90" workbookViewId="0">
      <selection activeCell="B15" sqref="B15"/>
    </sheetView>
  </sheetViews>
  <sheetFormatPr defaultRowHeight="14.5" x14ac:dyDescent="0.35"/>
  <sheetData>
    <row r="3" spans="2:3" x14ac:dyDescent="0.35">
      <c r="B3" t="s">
        <v>295</v>
      </c>
    </row>
    <row r="4" spans="2:3" x14ac:dyDescent="0.35">
      <c r="B4" t="s">
        <v>296</v>
      </c>
    </row>
    <row r="9" spans="2:3" x14ac:dyDescent="0.35">
      <c r="B9" s="39" t="s">
        <v>300</v>
      </c>
    </row>
    <row r="11" spans="2:3" x14ac:dyDescent="0.35">
      <c r="B11" t="s">
        <v>301</v>
      </c>
    </row>
    <row r="12" spans="2:3" x14ac:dyDescent="0.35">
      <c r="B12" t="s">
        <v>302</v>
      </c>
    </row>
    <row r="13" spans="2:3" x14ac:dyDescent="0.35">
      <c r="B13" t="s">
        <v>303</v>
      </c>
    </row>
    <row r="14" spans="2:3" x14ac:dyDescent="0.35">
      <c r="B14" t="s">
        <v>304</v>
      </c>
    </row>
    <row r="15" spans="2:3" x14ac:dyDescent="0.35">
      <c r="B15" t="s">
        <v>305</v>
      </c>
    </row>
    <row r="16" spans="2:3" x14ac:dyDescent="0.35">
      <c r="C16" t="s">
        <v>306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4B9E7-B25B-4277-B7A0-0D1D7987BB32}">
  <dimension ref="A1:BL46"/>
  <sheetViews>
    <sheetView showGridLines="0" topLeftCell="R1" zoomScale="80" zoomScaleNormal="80" workbookViewId="0">
      <selection activeCell="AE16" sqref="AE16"/>
    </sheetView>
  </sheetViews>
  <sheetFormatPr defaultColWidth="9.1796875" defaultRowHeight="14.5" x14ac:dyDescent="0.35"/>
  <cols>
    <col min="1" max="1" width="9.1796875" style="3"/>
    <col min="2" max="2" width="47.1796875" style="3" bestFit="1" customWidth="1"/>
    <col min="3" max="3" width="14.81640625" style="3" customWidth="1"/>
    <col min="4" max="4" width="12.1796875" style="3" customWidth="1"/>
    <col min="5" max="5" width="10.26953125" style="3" customWidth="1"/>
    <col min="6" max="6" width="10.81640625" style="3" customWidth="1"/>
    <col min="7" max="7" width="42.26953125" style="3" customWidth="1"/>
    <col min="8" max="8" width="11.453125" style="3" customWidth="1"/>
    <col min="9" max="9" width="9.1796875" style="3"/>
    <col min="10" max="10" width="35.453125" style="3" customWidth="1"/>
    <col min="11" max="12" width="9.1796875" style="3"/>
    <col min="13" max="13" width="11.26953125" style="3" customWidth="1"/>
    <col min="14" max="14" width="14.26953125" style="3" customWidth="1"/>
    <col min="15" max="15" width="37.26953125" style="3" customWidth="1"/>
    <col min="16" max="16" width="24.7265625" style="3" customWidth="1"/>
    <col min="17" max="17" width="9.1796875" style="3" customWidth="1"/>
    <col min="18" max="18" width="13.81640625" style="3" customWidth="1"/>
    <col min="19" max="19" width="9.1796875" style="3" customWidth="1"/>
    <col min="20" max="20" width="29.1796875" style="3" customWidth="1"/>
    <col min="21" max="21" width="19.54296875" style="3" customWidth="1"/>
    <col min="22" max="22" width="19.453125" style="3" bestFit="1" customWidth="1"/>
    <col min="23" max="23" width="27" style="3" bestFit="1" customWidth="1"/>
    <col min="24" max="24" width="11" style="3" bestFit="1" customWidth="1"/>
    <col min="25" max="32" width="9.1796875" style="3" customWidth="1"/>
    <col min="33" max="33" width="20.453125" style="3" customWidth="1"/>
    <col min="34" max="34" width="15" style="3" customWidth="1"/>
    <col min="35" max="35" width="30.453125" style="3" customWidth="1"/>
    <col min="36" max="42" width="9.1796875" style="6" customWidth="1"/>
    <col min="43" max="43" width="33.26953125" style="3" customWidth="1"/>
    <col min="44" max="44" width="14.81640625" style="3" customWidth="1"/>
    <col min="45" max="45" width="38.7265625" style="3" bestFit="1" customWidth="1"/>
    <col min="46" max="46" width="21.54296875" style="3" customWidth="1"/>
    <col min="47" max="47" width="11" style="3" customWidth="1"/>
    <col min="48" max="48" width="9.1796875" style="3"/>
    <col min="49" max="52" width="9.1796875" style="3" customWidth="1"/>
    <col min="53" max="53" width="15.26953125" style="3" bestFit="1" customWidth="1"/>
    <col min="54" max="54" width="19.81640625" style="3" bestFit="1" customWidth="1"/>
    <col min="55" max="55" width="13.26953125" style="3" customWidth="1"/>
    <col min="56" max="56" width="18.453125" style="3" customWidth="1"/>
    <col min="57" max="16384" width="9.1796875" style="3"/>
  </cols>
  <sheetData>
    <row r="1" spans="1:64" s="7" customFormat="1" ht="13" x14ac:dyDescent="0.35">
      <c r="A1" s="95" t="s">
        <v>0</v>
      </c>
      <c r="B1" s="95" t="s">
        <v>1</v>
      </c>
      <c r="C1" s="101" t="s">
        <v>2</v>
      </c>
      <c r="D1" s="102"/>
      <c r="E1" s="102"/>
      <c r="F1" s="103"/>
      <c r="G1" s="104" t="s">
        <v>3</v>
      </c>
      <c r="H1" s="104"/>
      <c r="I1" s="104"/>
      <c r="J1" s="95" t="s">
        <v>4</v>
      </c>
      <c r="K1" s="96" t="s">
        <v>5</v>
      </c>
      <c r="L1" s="96" t="s">
        <v>6</v>
      </c>
      <c r="M1" s="96" t="s">
        <v>7</v>
      </c>
      <c r="N1" s="96" t="s">
        <v>8</v>
      </c>
      <c r="O1" s="96" t="s">
        <v>9</v>
      </c>
      <c r="P1" s="96" t="s">
        <v>10</v>
      </c>
      <c r="Q1" s="96" t="s">
        <v>11</v>
      </c>
      <c r="R1" s="96" t="s">
        <v>12</v>
      </c>
      <c r="S1" s="96" t="s">
        <v>13</v>
      </c>
      <c r="T1" s="96" t="s">
        <v>14</v>
      </c>
      <c r="U1" s="96" t="s">
        <v>15</v>
      </c>
      <c r="V1" s="96" t="s">
        <v>16</v>
      </c>
      <c r="W1" s="96" t="s">
        <v>17</v>
      </c>
      <c r="X1" s="94" t="s">
        <v>18</v>
      </c>
      <c r="Y1" s="96" t="s">
        <v>19</v>
      </c>
      <c r="Z1" s="96" t="s">
        <v>21</v>
      </c>
      <c r="AA1" s="96" t="s">
        <v>22</v>
      </c>
      <c r="AB1" s="96" t="s">
        <v>23</v>
      </c>
      <c r="AC1" s="96" t="s">
        <v>24</v>
      </c>
      <c r="AD1" s="96" t="s">
        <v>25</v>
      </c>
      <c r="AE1" s="96" t="s">
        <v>26</v>
      </c>
      <c r="AF1" s="96" t="s">
        <v>27</v>
      </c>
      <c r="AG1" s="94" t="s">
        <v>28</v>
      </c>
      <c r="AH1" s="94" t="s">
        <v>29</v>
      </c>
      <c r="AI1" s="94" t="s">
        <v>30</v>
      </c>
      <c r="AJ1" s="96" t="s">
        <v>31</v>
      </c>
      <c r="AK1" s="96" t="s">
        <v>32</v>
      </c>
      <c r="AL1" s="96" t="s">
        <v>33</v>
      </c>
      <c r="AM1" s="96" t="s">
        <v>34</v>
      </c>
      <c r="AN1" s="96" t="s">
        <v>35</v>
      </c>
      <c r="AO1" s="96" t="s">
        <v>36</v>
      </c>
      <c r="AP1" s="96" t="s">
        <v>37</v>
      </c>
      <c r="AQ1" s="94" t="s">
        <v>38</v>
      </c>
      <c r="AR1" s="96" t="s">
        <v>39</v>
      </c>
      <c r="AS1" s="94" t="s">
        <v>40</v>
      </c>
      <c r="AT1" s="94" t="s">
        <v>41</v>
      </c>
      <c r="AU1" s="96" t="s">
        <v>42</v>
      </c>
      <c r="AV1" s="96" t="s">
        <v>43</v>
      </c>
      <c r="AW1" s="96" t="s">
        <v>281</v>
      </c>
      <c r="AX1" s="96" t="s">
        <v>45</v>
      </c>
      <c r="AY1" s="96" t="s">
        <v>46</v>
      </c>
      <c r="AZ1" s="96" t="s">
        <v>47</v>
      </c>
      <c r="BA1" s="96" t="s">
        <v>48</v>
      </c>
      <c r="BB1" s="96" t="s">
        <v>49</v>
      </c>
      <c r="BC1" s="94" t="s">
        <v>50</v>
      </c>
      <c r="BD1" s="94" t="s">
        <v>51</v>
      </c>
      <c r="BE1" s="96" t="s">
        <v>52</v>
      </c>
      <c r="BF1" s="96" t="s">
        <v>53</v>
      </c>
      <c r="BG1" s="96" t="s">
        <v>54</v>
      </c>
      <c r="BH1" s="96" t="s">
        <v>55</v>
      </c>
      <c r="BI1" s="98" t="s">
        <v>56</v>
      </c>
      <c r="BJ1" s="99" t="s">
        <v>57</v>
      </c>
      <c r="BK1" s="99" t="s">
        <v>58</v>
      </c>
      <c r="BL1" s="93" t="s">
        <v>59</v>
      </c>
    </row>
    <row r="2" spans="1:64" s="7" customFormat="1" ht="13.5" customHeight="1" x14ac:dyDescent="0.35">
      <c r="A2" s="100"/>
      <c r="B2" s="100"/>
      <c r="C2" s="94" t="s">
        <v>60</v>
      </c>
      <c r="D2" s="94" t="s">
        <v>61</v>
      </c>
      <c r="E2" s="94" t="s">
        <v>62</v>
      </c>
      <c r="F2" s="94" t="s">
        <v>63</v>
      </c>
      <c r="G2" s="94" t="s">
        <v>64</v>
      </c>
      <c r="H2" s="94" t="s">
        <v>65</v>
      </c>
      <c r="I2" s="94" t="s">
        <v>66</v>
      </c>
      <c r="J2" s="100"/>
      <c r="K2" s="96"/>
      <c r="L2" s="96"/>
      <c r="M2" s="96"/>
      <c r="N2" s="96"/>
      <c r="O2" s="96"/>
      <c r="P2" s="96"/>
      <c r="Q2" s="96"/>
      <c r="R2" s="96"/>
      <c r="S2" s="96"/>
      <c r="T2" s="96"/>
      <c r="U2" s="96"/>
      <c r="V2" s="96"/>
      <c r="W2" s="96"/>
      <c r="X2" s="94"/>
      <c r="Y2" s="96"/>
      <c r="Z2" s="96"/>
      <c r="AA2" s="96"/>
      <c r="AB2" s="96"/>
      <c r="AC2" s="96"/>
      <c r="AD2" s="96"/>
      <c r="AE2" s="96"/>
      <c r="AF2" s="96"/>
      <c r="AG2" s="94"/>
      <c r="AH2" s="94"/>
      <c r="AI2" s="94"/>
      <c r="AJ2" s="96"/>
      <c r="AK2" s="96"/>
      <c r="AL2" s="96"/>
      <c r="AM2" s="96"/>
      <c r="AN2" s="96"/>
      <c r="AO2" s="96"/>
      <c r="AP2" s="96"/>
      <c r="AQ2" s="96"/>
      <c r="AR2" s="96"/>
      <c r="AS2" s="94"/>
      <c r="AT2" s="94"/>
      <c r="AU2" s="96"/>
      <c r="AV2" s="96"/>
      <c r="AW2" s="96"/>
      <c r="AX2" s="96"/>
      <c r="AY2" s="96"/>
      <c r="AZ2" s="96"/>
      <c r="BA2" s="96"/>
      <c r="BB2" s="96"/>
      <c r="BC2" s="94"/>
      <c r="BD2" s="94"/>
      <c r="BE2" s="96"/>
      <c r="BF2" s="96"/>
      <c r="BG2" s="96"/>
      <c r="BH2" s="96"/>
      <c r="BI2" s="98"/>
      <c r="BJ2" s="99"/>
      <c r="BK2" s="99"/>
      <c r="BL2" s="93"/>
    </row>
    <row r="3" spans="1:64" s="7" customFormat="1" ht="13.5" customHeight="1" x14ac:dyDescent="0.35">
      <c r="A3" s="100"/>
      <c r="B3" s="100"/>
      <c r="C3" s="95"/>
      <c r="D3" s="95"/>
      <c r="E3" s="95"/>
      <c r="F3" s="95"/>
      <c r="G3" s="94"/>
      <c r="H3" s="95"/>
      <c r="I3" s="95"/>
      <c r="J3" s="105"/>
      <c r="K3" s="97"/>
      <c r="L3" s="97"/>
      <c r="M3" s="96"/>
      <c r="N3" s="96"/>
      <c r="O3" s="96"/>
      <c r="P3" s="96"/>
      <c r="Q3" s="96"/>
      <c r="R3" s="96"/>
      <c r="S3" s="96"/>
      <c r="T3" s="96"/>
      <c r="U3" s="96"/>
      <c r="V3" s="96"/>
      <c r="W3" s="96"/>
      <c r="X3" s="94"/>
      <c r="Y3" s="96"/>
      <c r="Z3" s="96"/>
      <c r="AA3" s="96"/>
      <c r="AB3" s="96"/>
      <c r="AC3" s="96"/>
      <c r="AD3" s="96"/>
      <c r="AE3" s="96"/>
      <c r="AF3" s="96"/>
      <c r="AG3" s="95"/>
      <c r="AH3" s="94"/>
      <c r="AI3" s="94"/>
      <c r="AJ3" s="97"/>
      <c r="AK3" s="97"/>
      <c r="AL3" s="97"/>
      <c r="AM3" s="97"/>
      <c r="AN3" s="97"/>
      <c r="AO3" s="97"/>
      <c r="AP3" s="96"/>
      <c r="AQ3" s="96"/>
      <c r="AR3" s="96"/>
      <c r="AS3" s="95"/>
      <c r="AT3" s="95"/>
      <c r="AU3" s="97"/>
      <c r="AV3" s="96"/>
      <c r="AW3" s="97"/>
      <c r="AX3" s="96"/>
      <c r="AY3" s="96"/>
      <c r="AZ3" s="96"/>
      <c r="BA3" s="96"/>
      <c r="BB3" s="96"/>
      <c r="BC3" s="94"/>
      <c r="BD3" s="94"/>
      <c r="BE3" s="97"/>
      <c r="BF3" s="97"/>
      <c r="BG3" s="96"/>
      <c r="BH3" s="96"/>
      <c r="BI3" s="98"/>
      <c r="BJ3" s="99"/>
      <c r="BK3" s="99"/>
      <c r="BL3" s="93"/>
    </row>
    <row r="4" spans="1:64" s="17" customFormat="1" ht="20.25" customHeight="1" x14ac:dyDescent="0.35">
      <c r="A4" s="1">
        <v>1</v>
      </c>
      <c r="B4" s="8" t="str">
        <f t="shared" ref="B4:B36" si="0">"Oct_Release_FixedOrders_J8&amp;9_COT_E2E_TOM_00"&amp;A4&amp;""</f>
        <v>Oct_Release_FixedOrders_J8&amp;9_COT_E2E_TOM_001</v>
      </c>
      <c r="C4" s="1" t="s">
        <v>67</v>
      </c>
      <c r="D4" s="1" t="s">
        <v>67</v>
      </c>
      <c r="E4" s="1" t="s">
        <v>68</v>
      </c>
      <c r="F4" s="1" t="s">
        <v>67</v>
      </c>
      <c r="G4" s="9" t="str">
        <f t="shared" ref="G4:G36" si="1">"A valid SSO SSJ Journey for "&amp;AG4</f>
        <v>A valid SSO SSJ Journey for COT Across NW</v>
      </c>
      <c r="H4" s="10" t="s">
        <v>70</v>
      </c>
      <c r="I4" s="10" t="s">
        <v>69</v>
      </c>
      <c r="J4" s="1" t="s">
        <v>232</v>
      </c>
      <c r="K4" s="11" t="s">
        <v>72</v>
      </c>
      <c r="L4" s="1" t="s">
        <v>73</v>
      </c>
      <c r="M4" s="2" t="s">
        <v>91</v>
      </c>
      <c r="N4" s="2" t="s">
        <v>210</v>
      </c>
      <c r="O4" s="2" t="s">
        <v>141</v>
      </c>
      <c r="P4" s="4" t="s">
        <v>184</v>
      </c>
      <c r="Q4" s="4" t="s">
        <v>233</v>
      </c>
      <c r="R4" s="2" t="s">
        <v>123</v>
      </c>
      <c r="S4" s="12" t="s">
        <v>234</v>
      </c>
      <c r="T4" s="12" t="s">
        <v>74</v>
      </c>
      <c r="U4" s="1" t="s">
        <v>235</v>
      </c>
      <c r="V4" s="12" t="s">
        <v>74</v>
      </c>
      <c r="W4" s="12" t="s">
        <v>83</v>
      </c>
      <c r="X4" s="12" t="s">
        <v>67</v>
      </c>
      <c r="Y4" s="12" t="s">
        <v>67</v>
      </c>
      <c r="Z4" s="12" t="s">
        <v>67</v>
      </c>
      <c r="AA4" s="12" t="s">
        <v>67</v>
      </c>
      <c r="AB4" s="12" t="s">
        <v>67</v>
      </c>
      <c r="AC4" s="12" t="s">
        <v>67</v>
      </c>
      <c r="AD4" s="12" t="s">
        <v>67</v>
      </c>
      <c r="AE4" s="12" t="s">
        <v>67</v>
      </c>
      <c r="AF4" s="12" t="s">
        <v>67</v>
      </c>
      <c r="AG4" s="1" t="s">
        <v>90</v>
      </c>
      <c r="AH4" s="2" t="s">
        <v>74</v>
      </c>
      <c r="AI4" s="5" t="s">
        <v>236</v>
      </c>
      <c r="AJ4" s="13" t="s">
        <v>69</v>
      </c>
      <c r="AK4" s="13" t="s">
        <v>189</v>
      </c>
      <c r="AL4" s="14" t="s">
        <v>67</v>
      </c>
      <c r="AM4" s="14" t="s">
        <v>67</v>
      </c>
      <c r="AN4" s="14" t="s">
        <v>67</v>
      </c>
      <c r="AO4" s="14" t="s">
        <v>67</v>
      </c>
      <c r="AP4" s="14" t="s">
        <v>67</v>
      </c>
      <c r="AQ4" s="13" t="s">
        <v>237</v>
      </c>
      <c r="AR4" s="12" t="s">
        <v>67</v>
      </c>
      <c r="AS4" s="2" t="s">
        <v>76</v>
      </c>
      <c r="AT4" s="2" t="s">
        <v>238</v>
      </c>
      <c r="AU4" s="2" t="s">
        <v>239</v>
      </c>
      <c r="AV4" s="15" t="s">
        <v>133</v>
      </c>
      <c r="AW4" s="12" t="s">
        <v>67</v>
      </c>
      <c r="AX4" s="12" t="s">
        <v>67</v>
      </c>
      <c r="AY4" s="11" t="s">
        <v>127</v>
      </c>
      <c r="AZ4" s="1" t="s">
        <v>222</v>
      </c>
      <c r="BA4" s="1" t="s">
        <v>143</v>
      </c>
      <c r="BB4" s="1" t="s">
        <v>144</v>
      </c>
      <c r="BC4" s="16" t="s">
        <v>120</v>
      </c>
      <c r="BD4" s="2" t="s">
        <v>101</v>
      </c>
      <c r="BE4" s="12"/>
      <c r="BF4" s="12"/>
      <c r="BG4" s="1" t="s">
        <v>67</v>
      </c>
      <c r="BH4" s="1" t="s">
        <v>67</v>
      </c>
      <c r="BI4" s="8" t="s">
        <v>67</v>
      </c>
      <c r="BJ4" s="12"/>
      <c r="BK4" s="12"/>
      <c r="BL4" s="12"/>
    </row>
    <row r="5" spans="1:64" s="17" customFormat="1" ht="20.25" customHeight="1" x14ac:dyDescent="0.35">
      <c r="A5" s="1">
        <v>2</v>
      </c>
      <c r="B5" s="8" t="str">
        <f t="shared" si="0"/>
        <v>Oct_Release_FixedOrders_J8&amp;9_COT_E2E_TOM_002</v>
      </c>
      <c r="C5" s="1" t="s">
        <v>67</v>
      </c>
      <c r="D5" s="1" t="s">
        <v>67</v>
      </c>
      <c r="E5" s="1" t="s">
        <v>68</v>
      </c>
      <c r="F5" s="1" t="s">
        <v>67</v>
      </c>
      <c r="G5" s="9" t="str">
        <f t="shared" si="1"/>
        <v>A valid SSO SSJ Journey for COT Across NW</v>
      </c>
      <c r="H5" s="10" t="s">
        <v>69</v>
      </c>
      <c r="I5" s="10" t="s">
        <v>70</v>
      </c>
      <c r="J5" s="9" t="s">
        <v>71</v>
      </c>
      <c r="K5" s="11" t="s">
        <v>72</v>
      </c>
      <c r="L5" s="1" t="s">
        <v>73</v>
      </c>
      <c r="M5" s="2" t="s">
        <v>91</v>
      </c>
      <c r="N5" s="2" t="s">
        <v>81</v>
      </c>
      <c r="O5" s="2" t="s">
        <v>118</v>
      </c>
      <c r="P5" s="4" t="s">
        <v>98</v>
      </c>
      <c r="Q5" s="4" t="s">
        <v>99</v>
      </c>
      <c r="R5" s="2" t="s">
        <v>79</v>
      </c>
      <c r="S5" s="12" t="s">
        <v>67</v>
      </c>
      <c r="T5" s="12" t="s">
        <v>240</v>
      </c>
      <c r="U5" s="1" t="s">
        <v>75</v>
      </c>
      <c r="V5" s="12" t="s">
        <v>91</v>
      </c>
      <c r="W5" s="12" t="s">
        <v>241</v>
      </c>
      <c r="X5" s="12" t="s">
        <v>67</v>
      </c>
      <c r="Y5" s="12" t="s">
        <v>67</v>
      </c>
      <c r="Z5" s="12" t="s">
        <v>67</v>
      </c>
      <c r="AA5" s="12" t="s">
        <v>67</v>
      </c>
      <c r="AB5" s="12" t="s">
        <v>67</v>
      </c>
      <c r="AC5" s="12" t="s">
        <v>67</v>
      </c>
      <c r="AD5" s="12" t="s">
        <v>67</v>
      </c>
      <c r="AE5" s="12" t="s">
        <v>67</v>
      </c>
      <c r="AF5" s="12" t="s">
        <v>67</v>
      </c>
      <c r="AG5" s="1" t="s">
        <v>90</v>
      </c>
      <c r="AH5" s="2" t="s">
        <v>74</v>
      </c>
      <c r="AI5" s="5" t="s">
        <v>75</v>
      </c>
      <c r="AJ5" s="13" t="s">
        <v>69</v>
      </c>
      <c r="AK5" s="13" t="s">
        <v>78</v>
      </c>
      <c r="AL5" s="14" t="s">
        <v>67</v>
      </c>
      <c r="AM5" s="14" t="s">
        <v>67</v>
      </c>
      <c r="AN5" s="14" t="s">
        <v>67</v>
      </c>
      <c r="AO5" s="14" t="s">
        <v>67</v>
      </c>
      <c r="AP5" s="14" t="s">
        <v>67</v>
      </c>
      <c r="AQ5" s="13" t="s">
        <v>242</v>
      </c>
      <c r="AR5" s="12" t="s">
        <v>67</v>
      </c>
      <c r="AS5" s="2" t="s">
        <v>76</v>
      </c>
      <c r="AT5" s="2" t="s">
        <v>243</v>
      </c>
      <c r="AU5" s="2" t="s">
        <v>244</v>
      </c>
      <c r="AV5" s="15" t="s">
        <v>133</v>
      </c>
      <c r="AW5" s="12" t="s">
        <v>67</v>
      </c>
      <c r="AX5" s="12" t="s">
        <v>67</v>
      </c>
      <c r="AY5" s="11" t="s">
        <v>152</v>
      </c>
      <c r="AZ5" s="1" t="s">
        <v>222</v>
      </c>
      <c r="BA5" s="1" t="s">
        <v>143</v>
      </c>
      <c r="BB5" s="1" t="s">
        <v>195</v>
      </c>
      <c r="BC5" s="16" t="s">
        <v>120</v>
      </c>
      <c r="BD5" s="2" t="s">
        <v>101</v>
      </c>
      <c r="BE5" s="12"/>
      <c r="BF5" s="12"/>
      <c r="BG5" s="9" t="s">
        <v>153</v>
      </c>
      <c r="BH5" s="9" t="s">
        <v>154</v>
      </c>
      <c r="BI5" s="18" t="s">
        <v>155</v>
      </c>
      <c r="BJ5" s="12"/>
      <c r="BK5" s="12"/>
      <c r="BL5" s="12"/>
    </row>
    <row r="6" spans="1:64" s="17" customFormat="1" ht="20.25" customHeight="1" x14ac:dyDescent="0.35">
      <c r="A6" s="1">
        <v>3</v>
      </c>
      <c r="B6" s="8" t="str">
        <f t="shared" si="0"/>
        <v>Oct_Release_FixedOrders_J8&amp;9_COT_E2E_TOM_003</v>
      </c>
      <c r="C6" s="1" t="s">
        <v>67</v>
      </c>
      <c r="D6" s="1" t="s">
        <v>67</v>
      </c>
      <c r="E6" s="1" t="s">
        <v>68</v>
      </c>
      <c r="F6" s="1" t="s">
        <v>67</v>
      </c>
      <c r="G6" s="9" t="str">
        <f t="shared" si="1"/>
        <v>A valid SSO SSJ Journey for COT Across NW</v>
      </c>
      <c r="H6" s="10" t="s">
        <v>69</v>
      </c>
      <c r="I6" s="10" t="s">
        <v>70</v>
      </c>
      <c r="J6" s="9" t="s">
        <v>128</v>
      </c>
      <c r="K6" s="11" t="s">
        <v>72</v>
      </c>
      <c r="L6" s="1" t="s">
        <v>73</v>
      </c>
      <c r="M6" s="2" t="s">
        <v>91</v>
      </c>
      <c r="N6" s="2" t="s">
        <v>190</v>
      </c>
      <c r="O6" s="2" t="s">
        <v>245</v>
      </c>
      <c r="P6" s="4" t="s">
        <v>246</v>
      </c>
      <c r="Q6" s="4" t="s">
        <v>189</v>
      </c>
      <c r="R6" s="2" t="s">
        <v>123</v>
      </c>
      <c r="S6" s="12" t="s">
        <v>247</v>
      </c>
      <c r="T6" s="12" t="s">
        <v>74</v>
      </c>
      <c r="U6" s="1" t="s">
        <v>248</v>
      </c>
      <c r="V6" s="12" t="s">
        <v>74</v>
      </c>
      <c r="W6" s="12" t="s">
        <v>83</v>
      </c>
      <c r="X6" s="12" t="s">
        <v>67</v>
      </c>
      <c r="Y6" s="12" t="s">
        <v>67</v>
      </c>
      <c r="Z6" s="12" t="s">
        <v>67</v>
      </c>
      <c r="AA6" s="12" t="s">
        <v>67</v>
      </c>
      <c r="AB6" s="12" t="s">
        <v>67</v>
      </c>
      <c r="AC6" s="12" t="s">
        <v>67</v>
      </c>
      <c r="AD6" s="12" t="s">
        <v>67</v>
      </c>
      <c r="AE6" s="12" t="s">
        <v>67</v>
      </c>
      <c r="AF6" s="12" t="s">
        <v>67</v>
      </c>
      <c r="AG6" s="1" t="s">
        <v>90</v>
      </c>
      <c r="AH6" s="2" t="s">
        <v>74</v>
      </c>
      <c r="AI6" s="5" t="s">
        <v>248</v>
      </c>
      <c r="AJ6" s="13" t="s">
        <v>69</v>
      </c>
      <c r="AK6" s="13" t="s">
        <v>189</v>
      </c>
      <c r="AL6" s="14" t="s">
        <v>67</v>
      </c>
      <c r="AM6" s="14" t="s">
        <v>67</v>
      </c>
      <c r="AN6" s="14" t="s">
        <v>67</v>
      </c>
      <c r="AO6" s="14" t="s">
        <v>67</v>
      </c>
      <c r="AP6" s="14" t="s">
        <v>67</v>
      </c>
      <c r="AQ6" s="13" t="s">
        <v>237</v>
      </c>
      <c r="AR6" s="12" t="s">
        <v>67</v>
      </c>
      <c r="AS6" s="2" t="s">
        <v>76</v>
      </c>
      <c r="AT6" s="2" t="s">
        <v>249</v>
      </c>
      <c r="AU6" s="2" t="s">
        <v>189</v>
      </c>
      <c r="AV6" s="15" t="s">
        <v>79</v>
      </c>
      <c r="AW6" s="12" t="s">
        <v>67</v>
      </c>
      <c r="AX6" s="12" t="s">
        <v>67</v>
      </c>
      <c r="AY6" s="11" t="s">
        <v>67</v>
      </c>
      <c r="AZ6" s="1" t="s">
        <v>67</v>
      </c>
      <c r="BA6" s="1" t="s">
        <v>67</v>
      </c>
      <c r="BB6" s="1" t="s">
        <v>186</v>
      </c>
      <c r="BC6" s="16" t="s">
        <v>120</v>
      </c>
      <c r="BD6" s="2" t="s">
        <v>101</v>
      </c>
      <c r="BE6" s="12"/>
      <c r="BF6" s="12"/>
      <c r="BG6" s="1" t="s">
        <v>67</v>
      </c>
      <c r="BH6" s="1" t="s">
        <v>67</v>
      </c>
      <c r="BI6" s="8" t="s">
        <v>67</v>
      </c>
      <c r="BJ6" s="12"/>
      <c r="BK6" s="12"/>
      <c r="BL6" s="12"/>
    </row>
    <row r="7" spans="1:64" s="17" customFormat="1" ht="20.25" customHeight="1" x14ac:dyDescent="0.35">
      <c r="A7" s="1">
        <v>4</v>
      </c>
      <c r="B7" s="8" t="str">
        <f t="shared" si="0"/>
        <v>Oct_Release_FixedOrders_J8&amp;9_COT_E2E_TOM_004</v>
      </c>
      <c r="C7" s="1" t="s">
        <v>67</v>
      </c>
      <c r="D7" s="1" t="s">
        <v>67</v>
      </c>
      <c r="E7" s="1" t="s">
        <v>68</v>
      </c>
      <c r="F7" s="1" t="s">
        <v>67</v>
      </c>
      <c r="G7" s="9" t="str">
        <f t="shared" si="1"/>
        <v>A valid SSO SSJ Journey for COT Across NW</v>
      </c>
      <c r="H7" s="10" t="s">
        <v>70</v>
      </c>
      <c r="I7" s="10" t="s">
        <v>69</v>
      </c>
      <c r="J7" s="9" t="s">
        <v>71</v>
      </c>
      <c r="K7" s="11" t="s">
        <v>72</v>
      </c>
      <c r="L7" s="1" t="s">
        <v>73</v>
      </c>
      <c r="M7" s="2" t="s">
        <v>91</v>
      </c>
      <c r="N7" s="2" t="s">
        <v>165</v>
      </c>
      <c r="O7" s="2" t="s">
        <v>118</v>
      </c>
      <c r="P7" s="4" t="s">
        <v>207</v>
      </c>
      <c r="Q7" s="4" t="s">
        <v>202</v>
      </c>
      <c r="R7" s="2" t="s">
        <v>123</v>
      </c>
      <c r="S7" s="12" t="s">
        <v>67</v>
      </c>
      <c r="T7" s="12" t="s">
        <v>134</v>
      </c>
      <c r="U7" s="1" t="s">
        <v>81</v>
      </c>
      <c r="V7" s="12" t="s">
        <v>82</v>
      </c>
      <c r="W7" s="12" t="s">
        <v>83</v>
      </c>
      <c r="X7" s="12" t="s">
        <v>282</v>
      </c>
      <c r="Y7" s="12" t="s">
        <v>70</v>
      </c>
      <c r="Z7" s="12" t="s">
        <v>103</v>
      </c>
      <c r="AA7" s="12" t="s">
        <v>86</v>
      </c>
      <c r="AB7" s="12" t="s">
        <v>86</v>
      </c>
      <c r="AC7" s="12" t="s">
        <v>87</v>
      </c>
      <c r="AD7" s="12" t="s">
        <v>67</v>
      </c>
      <c r="AE7" s="12" t="s">
        <v>67</v>
      </c>
      <c r="AF7" s="12" t="s">
        <v>89</v>
      </c>
      <c r="AG7" s="1" t="s">
        <v>90</v>
      </c>
      <c r="AH7" s="2" t="s">
        <v>82</v>
      </c>
      <c r="AI7" s="5" t="s">
        <v>81</v>
      </c>
      <c r="AJ7" s="13" t="s">
        <v>67</v>
      </c>
      <c r="AK7" s="13" t="s">
        <v>122</v>
      </c>
      <c r="AL7" s="14" t="s">
        <v>67</v>
      </c>
      <c r="AM7" s="14" t="s">
        <v>67</v>
      </c>
      <c r="AN7" s="14" t="s">
        <v>67</v>
      </c>
      <c r="AO7" s="14" t="s">
        <v>67</v>
      </c>
      <c r="AP7" s="14" t="s">
        <v>67</v>
      </c>
      <c r="AQ7" s="14" t="s">
        <v>269</v>
      </c>
      <c r="AR7" s="14" t="s">
        <v>67</v>
      </c>
      <c r="AS7" s="2" t="s">
        <v>109</v>
      </c>
      <c r="AT7" s="2" t="s">
        <v>145</v>
      </c>
      <c r="AU7" s="19" t="s">
        <v>146</v>
      </c>
      <c r="AV7" s="15" t="s">
        <v>123</v>
      </c>
      <c r="AW7" s="12" t="s">
        <v>67</v>
      </c>
      <c r="AX7" s="12" t="s">
        <v>67</v>
      </c>
      <c r="AY7" s="11" t="s">
        <v>152</v>
      </c>
      <c r="AZ7" s="1" t="s">
        <v>70</v>
      </c>
      <c r="BA7" s="1" t="s">
        <v>125</v>
      </c>
      <c r="BB7" s="1" t="s">
        <v>126</v>
      </c>
      <c r="BC7" s="16" t="s">
        <v>100</v>
      </c>
      <c r="BD7" s="2" t="s">
        <v>101</v>
      </c>
      <c r="BE7" s="12"/>
      <c r="BF7" s="12"/>
      <c r="BG7" s="9" t="s">
        <v>153</v>
      </c>
      <c r="BH7" s="9" t="s">
        <v>154</v>
      </c>
      <c r="BI7" s="18" t="s">
        <v>155</v>
      </c>
      <c r="BJ7" s="12"/>
      <c r="BK7" s="12"/>
      <c r="BL7" s="12"/>
    </row>
    <row r="8" spans="1:64" s="17" customFormat="1" ht="20.25" customHeight="1" x14ac:dyDescent="0.35">
      <c r="A8" s="1">
        <v>5</v>
      </c>
      <c r="B8" s="8" t="str">
        <f t="shared" si="0"/>
        <v>Oct_Release_FixedOrders_J8&amp;9_COT_E2E_TOM_005</v>
      </c>
      <c r="C8" s="1" t="s">
        <v>67</v>
      </c>
      <c r="D8" s="1" t="s">
        <v>67</v>
      </c>
      <c r="E8" s="1" t="s">
        <v>68</v>
      </c>
      <c r="F8" s="1" t="s">
        <v>67</v>
      </c>
      <c r="G8" s="9" t="str">
        <f t="shared" si="1"/>
        <v>A valid SSO SSJ Journey for COT Across NW</v>
      </c>
      <c r="H8" s="10" t="s">
        <v>69</v>
      </c>
      <c r="I8" s="10" t="s">
        <v>70</v>
      </c>
      <c r="J8" s="9" t="s">
        <v>128</v>
      </c>
      <c r="K8" s="11" t="s">
        <v>72</v>
      </c>
      <c r="L8" s="1" t="s">
        <v>73</v>
      </c>
      <c r="M8" s="2" t="s">
        <v>91</v>
      </c>
      <c r="N8" s="2" t="s">
        <v>148</v>
      </c>
      <c r="O8" s="2" t="s">
        <v>141</v>
      </c>
      <c r="P8" s="4" t="s">
        <v>163</v>
      </c>
      <c r="Q8" s="4" t="s">
        <v>92</v>
      </c>
      <c r="R8" s="2" t="s">
        <v>79</v>
      </c>
      <c r="S8" s="12" t="s">
        <v>219</v>
      </c>
      <c r="T8" s="12" t="s">
        <v>223</v>
      </c>
      <c r="U8" s="1" t="s">
        <v>129</v>
      </c>
      <c r="V8" s="12" t="s">
        <v>91</v>
      </c>
      <c r="W8" s="12" t="s">
        <v>83</v>
      </c>
      <c r="X8" s="12" t="s">
        <v>67</v>
      </c>
      <c r="Y8" s="12" t="s">
        <v>67</v>
      </c>
      <c r="Z8" s="12" t="s">
        <v>67</v>
      </c>
      <c r="AA8" s="12" t="s">
        <v>67</v>
      </c>
      <c r="AB8" s="12" t="s">
        <v>67</v>
      </c>
      <c r="AC8" s="12" t="s">
        <v>87</v>
      </c>
      <c r="AD8" s="12" t="s">
        <v>67</v>
      </c>
      <c r="AE8" s="12" t="s">
        <v>67</v>
      </c>
      <c r="AF8" s="12" t="s">
        <v>67</v>
      </c>
      <c r="AG8" s="1" t="s">
        <v>90</v>
      </c>
      <c r="AH8" s="2" t="s">
        <v>63</v>
      </c>
      <c r="AI8" s="5" t="s">
        <v>129</v>
      </c>
      <c r="AJ8" s="13" t="s">
        <v>67</v>
      </c>
      <c r="AK8" s="13" t="s">
        <v>67</v>
      </c>
      <c r="AL8" s="14" t="s">
        <v>67</v>
      </c>
      <c r="AM8" s="14" t="s">
        <v>67</v>
      </c>
      <c r="AN8" s="14" t="s">
        <v>67</v>
      </c>
      <c r="AO8" s="14" t="s">
        <v>67</v>
      </c>
      <c r="AP8" s="14" t="s">
        <v>67</v>
      </c>
      <c r="AQ8" s="12"/>
      <c r="AR8" s="12" t="s">
        <v>67</v>
      </c>
      <c r="AS8" s="2" t="s">
        <v>130</v>
      </c>
      <c r="AT8" s="1" t="s">
        <v>131</v>
      </c>
      <c r="AU8" s="1" t="s">
        <v>132</v>
      </c>
      <c r="AV8" s="15" t="s">
        <v>133</v>
      </c>
      <c r="AW8" s="12" t="s">
        <v>67</v>
      </c>
      <c r="AX8" s="12" t="s">
        <v>67</v>
      </c>
      <c r="AY8" s="11" t="s">
        <v>127</v>
      </c>
      <c r="AZ8" s="1" t="s">
        <v>222</v>
      </c>
      <c r="BA8" s="1" t="s">
        <v>143</v>
      </c>
      <c r="BB8" s="1" t="s">
        <v>195</v>
      </c>
      <c r="BC8" s="16" t="s">
        <v>120</v>
      </c>
      <c r="BD8" s="2" t="s">
        <v>101</v>
      </c>
      <c r="BE8" s="12"/>
      <c r="BF8" s="12"/>
      <c r="BG8" s="1" t="s">
        <v>67</v>
      </c>
      <c r="BH8" s="1" t="s">
        <v>67</v>
      </c>
      <c r="BI8" s="8" t="s">
        <v>67</v>
      </c>
      <c r="BJ8" s="12"/>
      <c r="BK8" s="12"/>
      <c r="BL8" s="12"/>
    </row>
    <row r="9" spans="1:64" s="17" customFormat="1" ht="20.25" customHeight="1" x14ac:dyDescent="0.35">
      <c r="A9" s="1">
        <v>6</v>
      </c>
      <c r="B9" s="8" t="str">
        <f t="shared" si="0"/>
        <v>Oct_Release_FixedOrders_J8&amp;9_COT_E2E_TOM_006</v>
      </c>
      <c r="C9" s="1" t="s">
        <v>67</v>
      </c>
      <c r="D9" s="1" t="s">
        <v>67</v>
      </c>
      <c r="E9" s="1" t="s">
        <v>68</v>
      </c>
      <c r="F9" s="1" t="s">
        <v>67</v>
      </c>
      <c r="G9" s="9" t="str">
        <f t="shared" si="1"/>
        <v>A valid SSO SSJ Journey for COT Across NW</v>
      </c>
      <c r="H9" s="10" t="s">
        <v>69</v>
      </c>
      <c r="I9" s="10" t="s">
        <v>70</v>
      </c>
      <c r="J9" s="9" t="s">
        <v>71</v>
      </c>
      <c r="K9" s="11" t="s">
        <v>72</v>
      </c>
      <c r="L9" s="1" t="s">
        <v>73</v>
      </c>
      <c r="M9" s="2" t="s">
        <v>91</v>
      </c>
      <c r="N9" s="2" t="s">
        <v>190</v>
      </c>
      <c r="O9" s="2" t="s">
        <v>118</v>
      </c>
      <c r="P9" s="4" t="s">
        <v>176</v>
      </c>
      <c r="Q9" s="4" t="s">
        <v>122</v>
      </c>
      <c r="R9" s="2" t="s">
        <v>123</v>
      </c>
      <c r="S9" s="12" t="s">
        <v>67</v>
      </c>
      <c r="T9" s="12" t="s">
        <v>223</v>
      </c>
      <c r="U9" s="1" t="s">
        <v>156</v>
      </c>
      <c r="V9" s="12" t="s">
        <v>91</v>
      </c>
      <c r="W9" s="12" t="s">
        <v>224</v>
      </c>
      <c r="X9" s="12" t="s">
        <v>67</v>
      </c>
      <c r="Y9" s="12" t="s">
        <v>67</v>
      </c>
      <c r="Z9" s="12" t="s">
        <v>67</v>
      </c>
      <c r="AA9" s="12" t="s">
        <v>67</v>
      </c>
      <c r="AB9" s="12" t="s">
        <v>67</v>
      </c>
      <c r="AC9" s="12" t="s">
        <v>87</v>
      </c>
      <c r="AD9" s="12" t="s">
        <v>67</v>
      </c>
      <c r="AE9" s="12" t="s">
        <v>67</v>
      </c>
      <c r="AF9" s="12" t="s">
        <v>67</v>
      </c>
      <c r="AG9" s="1" t="s">
        <v>90</v>
      </c>
      <c r="AH9" s="2" t="s">
        <v>63</v>
      </c>
      <c r="AI9" s="5" t="s">
        <v>156</v>
      </c>
      <c r="AJ9" s="13" t="s">
        <v>67</v>
      </c>
      <c r="AK9" s="13" t="s">
        <v>67</v>
      </c>
      <c r="AL9" s="14" t="s">
        <v>67</v>
      </c>
      <c r="AM9" s="14" t="s">
        <v>67</v>
      </c>
      <c r="AN9" s="14" t="s">
        <v>67</v>
      </c>
      <c r="AO9" s="14" t="s">
        <v>67</v>
      </c>
      <c r="AP9" s="14" t="s">
        <v>67</v>
      </c>
      <c r="AQ9" s="12"/>
      <c r="AR9" s="12" t="s">
        <v>67</v>
      </c>
      <c r="AS9" s="2" t="s">
        <v>157</v>
      </c>
      <c r="AT9" s="1" t="s">
        <v>226</v>
      </c>
      <c r="AU9" s="1" t="s">
        <v>227</v>
      </c>
      <c r="AV9" s="15" t="s">
        <v>123</v>
      </c>
      <c r="AW9" s="12" t="s">
        <v>67</v>
      </c>
      <c r="AX9" s="12" t="s">
        <v>67</v>
      </c>
      <c r="AY9" s="11" t="s">
        <v>127</v>
      </c>
      <c r="AZ9" s="1" t="s">
        <v>70</v>
      </c>
      <c r="BA9" s="1" t="s">
        <v>143</v>
      </c>
      <c r="BB9" s="1" t="s">
        <v>144</v>
      </c>
      <c r="BC9" s="16" t="s">
        <v>100</v>
      </c>
      <c r="BD9" s="2" t="s">
        <v>101</v>
      </c>
      <c r="BE9" s="12"/>
      <c r="BF9" s="12"/>
      <c r="BG9" s="1" t="s">
        <v>67</v>
      </c>
      <c r="BH9" s="1" t="s">
        <v>67</v>
      </c>
      <c r="BI9" s="8" t="s">
        <v>67</v>
      </c>
      <c r="BJ9" s="12"/>
      <c r="BK9" s="12"/>
      <c r="BL9" s="12"/>
    </row>
    <row r="10" spans="1:64" s="17" customFormat="1" ht="20.25" customHeight="1" x14ac:dyDescent="0.35">
      <c r="A10" s="1">
        <v>7</v>
      </c>
      <c r="B10" s="8" t="str">
        <f t="shared" si="0"/>
        <v>Oct_Release_FixedOrders_J8&amp;9_COT_E2E_TOM_007</v>
      </c>
      <c r="C10" s="1" t="s">
        <v>67</v>
      </c>
      <c r="D10" s="1" t="s">
        <v>67</v>
      </c>
      <c r="E10" s="1" t="s">
        <v>68</v>
      </c>
      <c r="F10" s="1" t="s">
        <v>67</v>
      </c>
      <c r="G10" s="9" t="str">
        <f t="shared" si="1"/>
        <v>A valid SSO SSJ Journey for COT Across NW</v>
      </c>
      <c r="H10" s="10" t="s">
        <v>70</v>
      </c>
      <c r="I10" s="10" t="s">
        <v>69</v>
      </c>
      <c r="J10" s="9" t="s">
        <v>128</v>
      </c>
      <c r="K10" s="11" t="s">
        <v>72</v>
      </c>
      <c r="L10" s="1" t="s">
        <v>73</v>
      </c>
      <c r="M10" s="2" t="s">
        <v>74</v>
      </c>
      <c r="N10" s="2" t="s">
        <v>208</v>
      </c>
      <c r="O10" s="4" t="s">
        <v>76</v>
      </c>
      <c r="P10" s="4" t="s">
        <v>77</v>
      </c>
      <c r="Q10" s="4" t="s">
        <v>78</v>
      </c>
      <c r="R10" s="2" t="s">
        <v>133</v>
      </c>
      <c r="S10" s="12" t="s">
        <v>67</v>
      </c>
      <c r="T10" s="12" t="s">
        <v>74</v>
      </c>
      <c r="U10" s="1" t="s">
        <v>208</v>
      </c>
      <c r="V10" s="12" t="s">
        <v>74</v>
      </c>
      <c r="W10" s="12" t="s">
        <v>83</v>
      </c>
      <c r="X10" s="12"/>
      <c r="Y10" s="12"/>
      <c r="Z10" s="12"/>
      <c r="AA10" s="12"/>
      <c r="AB10" s="12"/>
      <c r="AC10" s="12"/>
      <c r="AD10" s="12"/>
      <c r="AE10" s="12"/>
      <c r="AF10" s="12"/>
      <c r="AG10" s="1" t="s">
        <v>90</v>
      </c>
      <c r="AH10" s="2" t="s">
        <v>91</v>
      </c>
      <c r="AI10" s="5" t="s">
        <v>210</v>
      </c>
      <c r="AJ10" s="13" t="s">
        <v>69</v>
      </c>
      <c r="AK10" s="13"/>
      <c r="AL10" s="14" t="s">
        <v>67</v>
      </c>
      <c r="AM10" s="14" t="s">
        <v>67</v>
      </c>
      <c r="AN10" s="14" t="s">
        <v>67</v>
      </c>
      <c r="AO10" s="14" t="s">
        <v>67</v>
      </c>
      <c r="AP10" s="14" t="s">
        <v>67</v>
      </c>
      <c r="AQ10" s="12"/>
      <c r="AR10" s="12" t="s">
        <v>67</v>
      </c>
      <c r="AS10" s="2" t="s">
        <v>150</v>
      </c>
      <c r="AT10" s="2" t="s">
        <v>201</v>
      </c>
      <c r="AU10" s="2" t="s">
        <v>202</v>
      </c>
      <c r="AV10" s="15" t="s">
        <v>123</v>
      </c>
      <c r="AW10" s="12" t="s">
        <v>212</v>
      </c>
      <c r="AX10" s="12" t="s">
        <v>67</v>
      </c>
      <c r="AY10" s="11" t="s">
        <v>152</v>
      </c>
      <c r="AZ10" s="1" t="s">
        <v>70</v>
      </c>
      <c r="BA10" s="1" t="s">
        <v>143</v>
      </c>
      <c r="BB10" s="1" t="s">
        <v>144</v>
      </c>
      <c r="BC10" s="16" t="s">
        <v>100</v>
      </c>
      <c r="BD10" s="2" t="s">
        <v>101</v>
      </c>
      <c r="BE10" s="12"/>
      <c r="BF10" s="12"/>
      <c r="BG10" s="9" t="s">
        <v>153</v>
      </c>
      <c r="BH10" s="9" t="s">
        <v>196</v>
      </c>
      <c r="BI10" s="18" t="s">
        <v>155</v>
      </c>
      <c r="BJ10" s="12"/>
      <c r="BK10" s="12"/>
      <c r="BL10" s="12"/>
    </row>
    <row r="11" spans="1:64" s="17" customFormat="1" ht="20.25" customHeight="1" x14ac:dyDescent="0.35">
      <c r="A11" s="1">
        <v>8</v>
      </c>
      <c r="B11" s="8" t="str">
        <f>"Oct_Release_FixedOrders_J8&amp;9_COT_E2E_TOM_00"&amp;A11&amp;""</f>
        <v>Oct_Release_FixedOrders_J8&amp;9_COT_E2E_TOM_008</v>
      </c>
      <c r="C11" s="1" t="s">
        <v>67</v>
      </c>
      <c r="D11" s="1" t="s">
        <v>67</v>
      </c>
      <c r="E11" s="1" t="s">
        <v>68</v>
      </c>
      <c r="F11" s="1" t="s">
        <v>67</v>
      </c>
      <c r="G11" s="9" t="str">
        <f t="shared" si="1"/>
        <v>A valid SSO SSJ Journey for COT Across NW</v>
      </c>
      <c r="H11" s="10" t="s">
        <v>69</v>
      </c>
      <c r="I11" s="10" t="s">
        <v>70</v>
      </c>
      <c r="J11" s="9" t="s">
        <v>71</v>
      </c>
      <c r="K11" s="11" t="s">
        <v>72</v>
      </c>
      <c r="L11" s="1" t="s">
        <v>73</v>
      </c>
      <c r="M11" s="2" t="s">
        <v>74</v>
      </c>
      <c r="N11" s="2" t="s">
        <v>75</v>
      </c>
      <c r="O11" s="4" t="s">
        <v>76</v>
      </c>
      <c r="P11" s="4" t="s">
        <v>77</v>
      </c>
      <c r="Q11" s="4" t="s">
        <v>78</v>
      </c>
      <c r="R11" s="2" t="s">
        <v>79</v>
      </c>
      <c r="S11" s="12" t="s">
        <v>67</v>
      </c>
      <c r="T11" s="12" t="s">
        <v>80</v>
      </c>
      <c r="U11" s="1" t="s">
        <v>81</v>
      </c>
      <c r="V11" s="12" t="s">
        <v>82</v>
      </c>
      <c r="W11" s="12" t="s">
        <v>83</v>
      </c>
      <c r="X11" s="12"/>
      <c r="Y11" s="12"/>
      <c r="Z11" s="20" t="s">
        <v>283</v>
      </c>
      <c r="AA11" s="21" t="s">
        <v>67</v>
      </c>
      <c r="AB11" s="20" t="s">
        <v>86</v>
      </c>
      <c r="AC11" s="20" t="s">
        <v>87</v>
      </c>
      <c r="AD11" s="20" t="s">
        <v>88</v>
      </c>
      <c r="AE11" s="20" t="s">
        <v>67</v>
      </c>
      <c r="AF11" s="20" t="s">
        <v>89</v>
      </c>
      <c r="AG11" s="1" t="s">
        <v>90</v>
      </c>
      <c r="AH11" s="2" t="s">
        <v>91</v>
      </c>
      <c r="AI11" s="2" t="s">
        <v>81</v>
      </c>
      <c r="AJ11" s="13" t="s">
        <v>67</v>
      </c>
      <c r="AK11" s="13" t="s">
        <v>251</v>
      </c>
      <c r="AL11" s="14" t="s">
        <v>67</v>
      </c>
      <c r="AM11" s="14" t="s">
        <v>67</v>
      </c>
      <c r="AN11" s="14" t="s">
        <v>67</v>
      </c>
      <c r="AO11" s="14" t="s">
        <v>67</v>
      </c>
      <c r="AP11" s="14" t="s">
        <v>67</v>
      </c>
      <c r="AQ11" s="13" t="s">
        <v>269</v>
      </c>
      <c r="AR11" s="12" t="s">
        <v>67</v>
      </c>
      <c r="AS11" s="2" t="s">
        <v>150</v>
      </c>
      <c r="AT11" s="2" t="s">
        <v>284</v>
      </c>
      <c r="AU11" s="19" t="s">
        <v>108</v>
      </c>
      <c r="AV11" s="15" t="s">
        <v>79</v>
      </c>
      <c r="AW11" s="12" t="s">
        <v>285</v>
      </c>
      <c r="AX11" s="12" t="s">
        <v>67</v>
      </c>
      <c r="AY11" s="11" t="s">
        <v>67</v>
      </c>
      <c r="AZ11" s="1" t="s">
        <v>67</v>
      </c>
      <c r="BA11" s="1" t="s">
        <v>67</v>
      </c>
      <c r="BB11" s="1" t="s">
        <v>67</v>
      </c>
      <c r="BC11" s="16" t="s">
        <v>100</v>
      </c>
      <c r="BD11" s="2" t="s">
        <v>101</v>
      </c>
      <c r="BE11" s="12"/>
      <c r="BF11" s="12"/>
      <c r="BG11" s="1" t="s">
        <v>67</v>
      </c>
      <c r="BH11" s="1" t="s">
        <v>67</v>
      </c>
      <c r="BI11" s="8" t="s">
        <v>67</v>
      </c>
      <c r="BJ11" s="12"/>
      <c r="BK11" s="12"/>
      <c r="BL11" s="12"/>
    </row>
    <row r="12" spans="1:64" s="17" customFormat="1" ht="20.25" customHeight="1" x14ac:dyDescent="0.35">
      <c r="A12" s="1">
        <v>9</v>
      </c>
      <c r="B12" s="8" t="str">
        <f t="shared" si="0"/>
        <v>Oct_Release_FixedOrders_J8&amp;9_COT_E2E_TOM_009</v>
      </c>
      <c r="C12" s="1" t="s">
        <v>67</v>
      </c>
      <c r="D12" s="1" t="s">
        <v>67</v>
      </c>
      <c r="E12" s="1" t="s">
        <v>68</v>
      </c>
      <c r="F12" s="1" t="s">
        <v>67</v>
      </c>
      <c r="G12" s="9" t="str">
        <f t="shared" si="1"/>
        <v>A valid SSO SSJ Journey for COT Across NW</v>
      </c>
      <c r="H12" s="10" t="s">
        <v>70</v>
      </c>
      <c r="I12" s="10" t="s">
        <v>69</v>
      </c>
      <c r="J12" s="9" t="s">
        <v>71</v>
      </c>
      <c r="K12" s="11" t="s">
        <v>72</v>
      </c>
      <c r="L12" s="1" t="s">
        <v>73</v>
      </c>
      <c r="M12" s="2" t="s">
        <v>74</v>
      </c>
      <c r="N12" s="2" t="s">
        <v>187</v>
      </c>
      <c r="O12" s="4" t="s">
        <v>76</v>
      </c>
      <c r="P12" s="4" t="s">
        <v>188</v>
      </c>
      <c r="Q12" s="4" t="s">
        <v>189</v>
      </c>
      <c r="R12" s="2" t="s">
        <v>79</v>
      </c>
      <c r="S12" s="12" t="s">
        <v>67</v>
      </c>
      <c r="T12" s="12" t="s">
        <v>91</v>
      </c>
      <c r="U12" s="1" t="s">
        <v>190</v>
      </c>
      <c r="V12" s="12" t="s">
        <v>91</v>
      </c>
      <c r="W12" s="12" t="s">
        <v>83</v>
      </c>
      <c r="X12" s="12"/>
      <c r="Y12" s="12"/>
      <c r="Z12" s="22" t="s">
        <v>191</v>
      </c>
      <c r="AA12" s="23" t="s">
        <v>192</v>
      </c>
      <c r="AB12" s="12"/>
      <c r="AC12" s="12"/>
      <c r="AD12" s="12"/>
      <c r="AE12" s="12"/>
      <c r="AF12" s="24" t="s">
        <v>89</v>
      </c>
      <c r="AG12" s="1" t="s">
        <v>90</v>
      </c>
      <c r="AH12" s="2" t="s">
        <v>91</v>
      </c>
      <c r="AI12" s="5" t="s">
        <v>190</v>
      </c>
      <c r="AJ12" s="13"/>
      <c r="AK12" s="13"/>
      <c r="AL12" s="14" t="s">
        <v>67</v>
      </c>
      <c r="AM12" s="14" t="s">
        <v>67</v>
      </c>
      <c r="AN12" s="14" t="s">
        <v>67</v>
      </c>
      <c r="AO12" s="14" t="s">
        <v>67</v>
      </c>
      <c r="AP12" s="14" t="s">
        <v>67</v>
      </c>
      <c r="AQ12" s="12"/>
      <c r="AR12" s="12"/>
      <c r="AS12" s="2" t="s">
        <v>118</v>
      </c>
      <c r="AT12" s="2" t="s">
        <v>218</v>
      </c>
      <c r="AU12" s="19" t="s">
        <v>111</v>
      </c>
      <c r="AV12" s="15" t="s">
        <v>123</v>
      </c>
      <c r="AW12" s="12" t="s">
        <v>67</v>
      </c>
      <c r="AX12" s="12" t="s">
        <v>67</v>
      </c>
      <c r="AY12" s="11" t="s">
        <v>127</v>
      </c>
      <c r="AZ12" s="1" t="s">
        <v>70</v>
      </c>
      <c r="BA12" s="1" t="s">
        <v>143</v>
      </c>
      <c r="BB12" s="1" t="s">
        <v>195</v>
      </c>
      <c r="BC12" s="16" t="s">
        <v>120</v>
      </c>
      <c r="BD12" s="2" t="s">
        <v>101</v>
      </c>
      <c r="BE12" s="12"/>
      <c r="BF12" s="12"/>
      <c r="BG12" s="1" t="s">
        <v>67</v>
      </c>
      <c r="BH12" s="1" t="s">
        <v>67</v>
      </c>
      <c r="BI12" s="8" t="s">
        <v>67</v>
      </c>
      <c r="BJ12" s="12"/>
      <c r="BK12" s="12"/>
      <c r="BL12" s="12"/>
    </row>
    <row r="13" spans="1:64" s="17" customFormat="1" ht="20.25" customHeight="1" x14ac:dyDescent="0.35">
      <c r="A13" s="1">
        <v>10</v>
      </c>
      <c r="B13" s="8" t="str">
        <f t="shared" si="0"/>
        <v>Oct_Release_FixedOrders_J8&amp;9_COT_E2E_TOM_0010</v>
      </c>
      <c r="C13" s="1" t="s">
        <v>67</v>
      </c>
      <c r="D13" s="1" t="s">
        <v>67</v>
      </c>
      <c r="E13" s="1" t="s">
        <v>68</v>
      </c>
      <c r="F13" s="1" t="s">
        <v>67</v>
      </c>
      <c r="G13" s="9" t="str">
        <f t="shared" si="1"/>
        <v>A valid SSO SSJ Journey for COT Across NW</v>
      </c>
      <c r="H13" s="10" t="s">
        <v>69</v>
      </c>
      <c r="I13" s="10" t="s">
        <v>70</v>
      </c>
      <c r="J13" s="9" t="s">
        <v>71</v>
      </c>
      <c r="K13" s="11" t="s">
        <v>72</v>
      </c>
      <c r="L13" s="1" t="s">
        <v>73</v>
      </c>
      <c r="M13" s="2" t="s">
        <v>74</v>
      </c>
      <c r="N13" s="2" t="s">
        <v>75</v>
      </c>
      <c r="O13" s="4" t="s">
        <v>76</v>
      </c>
      <c r="P13" s="4" t="s">
        <v>77</v>
      </c>
      <c r="Q13" s="4" t="s">
        <v>78</v>
      </c>
      <c r="R13" s="2" t="s">
        <v>133</v>
      </c>
      <c r="S13" s="12" t="s">
        <v>67</v>
      </c>
      <c r="T13" s="12" t="s">
        <v>213</v>
      </c>
      <c r="U13" s="1" t="s">
        <v>210</v>
      </c>
      <c r="V13" s="12" t="s">
        <v>82</v>
      </c>
      <c r="W13" s="12" t="s">
        <v>135</v>
      </c>
      <c r="X13" s="12"/>
      <c r="Y13" s="12"/>
      <c r="Z13" s="10"/>
      <c r="AA13" s="10"/>
      <c r="AB13" s="12"/>
      <c r="AC13" s="12"/>
      <c r="AD13" s="12"/>
      <c r="AE13" s="12"/>
      <c r="AF13" s="12"/>
      <c r="AG13" s="1" t="s">
        <v>90</v>
      </c>
      <c r="AH13" s="2" t="s">
        <v>91</v>
      </c>
      <c r="AI13" s="5" t="s">
        <v>210</v>
      </c>
      <c r="AJ13" s="13"/>
      <c r="AK13" s="13"/>
      <c r="AL13" s="14" t="s">
        <v>67</v>
      </c>
      <c r="AM13" s="14" t="s">
        <v>67</v>
      </c>
      <c r="AN13" s="14" t="s">
        <v>67</v>
      </c>
      <c r="AO13" s="14" t="s">
        <v>67</v>
      </c>
      <c r="AP13" s="14" t="s">
        <v>67</v>
      </c>
      <c r="AQ13" s="12"/>
      <c r="AR13" s="12"/>
      <c r="AS13" s="2" t="s">
        <v>118</v>
      </c>
      <c r="AT13" s="2" t="s">
        <v>184</v>
      </c>
      <c r="AU13" s="2" t="s">
        <v>233</v>
      </c>
      <c r="AV13" s="15" t="s">
        <v>79</v>
      </c>
      <c r="AW13" s="12" t="s">
        <v>67</v>
      </c>
      <c r="AX13" s="12" t="s">
        <v>67</v>
      </c>
      <c r="AY13" s="11" t="s">
        <v>67</v>
      </c>
      <c r="AZ13" s="1" t="s">
        <v>67</v>
      </c>
      <c r="BA13" s="1" t="s">
        <v>67</v>
      </c>
      <c r="BB13" s="1" t="s">
        <v>186</v>
      </c>
      <c r="BC13" s="16" t="s">
        <v>120</v>
      </c>
      <c r="BD13" s="2" t="s">
        <v>101</v>
      </c>
      <c r="BE13" s="12"/>
      <c r="BF13" s="12"/>
      <c r="BG13" s="1" t="s">
        <v>67</v>
      </c>
      <c r="BH13" s="1" t="s">
        <v>67</v>
      </c>
      <c r="BI13" s="8" t="s">
        <v>67</v>
      </c>
      <c r="BJ13" s="12"/>
      <c r="BK13" s="12"/>
      <c r="BL13" s="12"/>
    </row>
    <row r="14" spans="1:64" s="17" customFormat="1" ht="20.25" customHeight="1" x14ac:dyDescent="0.35">
      <c r="A14" s="1">
        <v>11</v>
      </c>
      <c r="B14" s="8" t="str">
        <f t="shared" si="0"/>
        <v>Oct_Release_FixedOrders_J8&amp;9_COT_E2E_TOM_0011</v>
      </c>
      <c r="C14" s="1" t="s">
        <v>67</v>
      </c>
      <c r="D14" s="1" t="s">
        <v>67</v>
      </c>
      <c r="E14" s="1" t="s">
        <v>68</v>
      </c>
      <c r="F14" s="1" t="s">
        <v>67</v>
      </c>
      <c r="G14" s="9" t="str">
        <f t="shared" si="1"/>
        <v>A valid SSO SSJ Journey for COT Across NW</v>
      </c>
      <c r="H14" s="10" t="s">
        <v>69</v>
      </c>
      <c r="I14" s="10" t="s">
        <v>70</v>
      </c>
      <c r="J14" s="1" t="s">
        <v>232</v>
      </c>
      <c r="K14" s="11" t="s">
        <v>72</v>
      </c>
      <c r="L14" s="1" t="s">
        <v>73</v>
      </c>
      <c r="M14" s="2" t="s">
        <v>74</v>
      </c>
      <c r="N14" s="2" t="s">
        <v>235</v>
      </c>
      <c r="O14" s="4" t="s">
        <v>76</v>
      </c>
      <c r="P14" s="4" t="s">
        <v>188</v>
      </c>
      <c r="Q14" s="4" t="s">
        <v>189</v>
      </c>
      <c r="R14" s="2" t="s">
        <v>79</v>
      </c>
      <c r="S14" s="12" t="s">
        <v>67</v>
      </c>
      <c r="T14" s="12" t="s">
        <v>80</v>
      </c>
      <c r="U14" s="1" t="s">
        <v>81</v>
      </c>
      <c r="V14" s="12" t="s">
        <v>82</v>
      </c>
      <c r="W14" s="12" t="s">
        <v>83</v>
      </c>
      <c r="X14" s="12" t="s">
        <v>67</v>
      </c>
      <c r="Y14" s="12" t="s">
        <v>69</v>
      </c>
      <c r="Z14" s="12" t="s">
        <v>112</v>
      </c>
      <c r="AA14" s="12" t="s">
        <v>67</v>
      </c>
      <c r="AB14" s="12" t="s">
        <v>270</v>
      </c>
      <c r="AC14" s="12" t="s">
        <v>271</v>
      </c>
      <c r="AD14" s="12" t="s">
        <v>67</v>
      </c>
      <c r="AE14" s="12" t="s">
        <v>67</v>
      </c>
      <c r="AF14" s="12" t="s">
        <v>117</v>
      </c>
      <c r="AG14" s="1" t="s">
        <v>90</v>
      </c>
      <c r="AH14" s="2" t="s">
        <v>82</v>
      </c>
      <c r="AI14" s="2" t="s">
        <v>81</v>
      </c>
      <c r="AJ14" s="13" t="s">
        <v>67</v>
      </c>
      <c r="AK14" s="13" t="s">
        <v>108</v>
      </c>
      <c r="AL14" s="14" t="s">
        <v>67</v>
      </c>
      <c r="AM14" s="14" t="s">
        <v>67</v>
      </c>
      <c r="AN14" s="14" t="s">
        <v>67</v>
      </c>
      <c r="AO14" s="14" t="s">
        <v>67</v>
      </c>
      <c r="AP14" s="14" t="s">
        <v>67</v>
      </c>
      <c r="AQ14" s="13" t="s">
        <v>272</v>
      </c>
      <c r="AR14" s="12" t="s">
        <v>67</v>
      </c>
      <c r="AS14" s="2" t="s">
        <v>109</v>
      </c>
      <c r="AT14" s="2" t="s">
        <v>273</v>
      </c>
      <c r="AU14" s="2" t="s">
        <v>202</v>
      </c>
      <c r="AV14" s="15" t="s">
        <v>123</v>
      </c>
      <c r="AW14" s="12" t="s">
        <v>67</v>
      </c>
      <c r="AX14" s="12" t="s">
        <v>67</v>
      </c>
      <c r="AY14" s="11" t="s">
        <v>127</v>
      </c>
      <c r="AZ14" s="1" t="s">
        <v>70</v>
      </c>
      <c r="BA14" s="1" t="s">
        <v>143</v>
      </c>
      <c r="BB14" s="1" t="s">
        <v>195</v>
      </c>
      <c r="BC14" s="16" t="s">
        <v>120</v>
      </c>
      <c r="BD14" s="2" t="s">
        <v>101</v>
      </c>
      <c r="BE14" s="12"/>
      <c r="BF14" s="12"/>
      <c r="BG14" s="1" t="s">
        <v>67</v>
      </c>
      <c r="BH14" s="1" t="s">
        <v>67</v>
      </c>
      <c r="BI14" s="8" t="s">
        <v>67</v>
      </c>
      <c r="BJ14" s="12"/>
      <c r="BK14" s="12"/>
      <c r="BL14" s="12"/>
    </row>
    <row r="15" spans="1:64" s="17" customFormat="1" ht="20.25" customHeight="1" x14ac:dyDescent="0.35">
      <c r="A15" s="1">
        <v>12</v>
      </c>
      <c r="B15" s="8" t="str">
        <f t="shared" si="0"/>
        <v>Oct_Release_FixedOrders_J8&amp;9_COT_E2E_TOM_0012</v>
      </c>
      <c r="C15" s="1" t="s">
        <v>67</v>
      </c>
      <c r="D15" s="1" t="s">
        <v>67</v>
      </c>
      <c r="E15" s="1" t="s">
        <v>68</v>
      </c>
      <c r="F15" s="1" t="s">
        <v>67</v>
      </c>
      <c r="G15" s="9" t="str">
        <f t="shared" si="1"/>
        <v>A valid SSO SSJ Journey for COT Across NW</v>
      </c>
      <c r="H15" s="10" t="s">
        <v>70</v>
      </c>
      <c r="I15" s="10" t="s">
        <v>69</v>
      </c>
      <c r="J15" s="9" t="s">
        <v>71</v>
      </c>
      <c r="K15" s="11" t="s">
        <v>72</v>
      </c>
      <c r="L15" s="1" t="s">
        <v>73</v>
      </c>
      <c r="M15" s="2" t="s">
        <v>74</v>
      </c>
      <c r="N15" s="2" t="s">
        <v>187</v>
      </c>
      <c r="O15" s="4" t="s">
        <v>76</v>
      </c>
      <c r="P15" s="4" t="s">
        <v>188</v>
      </c>
      <c r="Q15" s="4" t="s">
        <v>189</v>
      </c>
      <c r="R15" s="2" t="s">
        <v>133</v>
      </c>
      <c r="S15" s="12" t="s">
        <v>67</v>
      </c>
      <c r="T15" s="12" t="s">
        <v>228</v>
      </c>
      <c r="U15" s="1" t="s">
        <v>129</v>
      </c>
      <c r="V15" s="12" t="s">
        <v>91</v>
      </c>
      <c r="W15" s="12" t="s">
        <v>229</v>
      </c>
      <c r="X15" s="12" t="s">
        <v>67</v>
      </c>
      <c r="Y15" s="12" t="s">
        <v>67</v>
      </c>
      <c r="Z15" s="12" t="s">
        <v>67</v>
      </c>
      <c r="AA15" s="12" t="s">
        <v>67</v>
      </c>
      <c r="AB15" s="12" t="s">
        <v>67</v>
      </c>
      <c r="AC15" s="12" t="s">
        <v>87</v>
      </c>
      <c r="AD15" s="12" t="s">
        <v>67</v>
      </c>
      <c r="AE15" s="12" t="s">
        <v>67</v>
      </c>
      <c r="AF15" s="12" t="s">
        <v>67</v>
      </c>
      <c r="AG15" s="1" t="s">
        <v>90</v>
      </c>
      <c r="AH15" s="2" t="s">
        <v>63</v>
      </c>
      <c r="AI15" s="5" t="s">
        <v>129</v>
      </c>
      <c r="AJ15" s="13" t="s">
        <v>67</v>
      </c>
      <c r="AK15" s="13" t="s">
        <v>67</v>
      </c>
      <c r="AL15" s="14" t="s">
        <v>67</v>
      </c>
      <c r="AM15" s="14" t="s">
        <v>67</v>
      </c>
      <c r="AN15" s="14" t="s">
        <v>67</v>
      </c>
      <c r="AO15" s="14" t="s">
        <v>67</v>
      </c>
      <c r="AP15" s="14" t="s">
        <v>67</v>
      </c>
      <c r="AQ15" s="12"/>
      <c r="AR15" s="12" t="s">
        <v>67</v>
      </c>
      <c r="AS15" s="2" t="s">
        <v>130</v>
      </c>
      <c r="AT15" s="1" t="s">
        <v>131</v>
      </c>
      <c r="AU15" s="1" t="s">
        <v>132</v>
      </c>
      <c r="AV15" s="15" t="s">
        <v>133</v>
      </c>
      <c r="AW15" s="12" t="s">
        <v>67</v>
      </c>
      <c r="AX15" s="12" t="s">
        <v>67</v>
      </c>
      <c r="AY15" s="11" t="s">
        <v>152</v>
      </c>
      <c r="AZ15" s="1" t="s">
        <v>222</v>
      </c>
      <c r="BA15" s="1" t="s">
        <v>143</v>
      </c>
      <c r="BB15" s="1" t="s">
        <v>144</v>
      </c>
      <c r="BC15" s="16" t="s">
        <v>100</v>
      </c>
      <c r="BD15" s="2" t="s">
        <v>101</v>
      </c>
      <c r="BE15" s="12"/>
      <c r="BF15" s="12"/>
      <c r="BG15" s="9" t="s">
        <v>153</v>
      </c>
      <c r="BH15" s="9" t="s">
        <v>196</v>
      </c>
      <c r="BI15" s="18" t="s">
        <v>155</v>
      </c>
      <c r="BJ15" s="12"/>
      <c r="BK15" s="12"/>
      <c r="BL15" s="12"/>
    </row>
    <row r="16" spans="1:64" s="17" customFormat="1" ht="20.25" customHeight="1" x14ac:dyDescent="0.35">
      <c r="A16" s="1">
        <v>13</v>
      </c>
      <c r="B16" s="8" t="str">
        <f t="shared" si="0"/>
        <v>Oct_Release_FixedOrders_J8&amp;9_COT_E2E_TOM_0013</v>
      </c>
      <c r="C16" s="1" t="s">
        <v>67</v>
      </c>
      <c r="D16" s="1" t="s">
        <v>67</v>
      </c>
      <c r="E16" s="1" t="s">
        <v>68</v>
      </c>
      <c r="F16" s="1" t="s">
        <v>67</v>
      </c>
      <c r="G16" s="9" t="str">
        <f t="shared" si="1"/>
        <v>A valid SSO SSJ Journey for COT Across NW</v>
      </c>
      <c r="H16" s="10" t="s">
        <v>69</v>
      </c>
      <c r="I16" s="10" t="s">
        <v>70</v>
      </c>
      <c r="J16" s="9" t="s">
        <v>128</v>
      </c>
      <c r="K16" s="11" t="s">
        <v>72</v>
      </c>
      <c r="L16" s="1" t="s">
        <v>73</v>
      </c>
      <c r="M16" s="2" t="s">
        <v>74</v>
      </c>
      <c r="N16" s="2" t="s">
        <v>208</v>
      </c>
      <c r="O16" s="4" t="s">
        <v>76</v>
      </c>
      <c r="P16" s="4" t="s">
        <v>77</v>
      </c>
      <c r="Q16" s="4" t="s">
        <v>78</v>
      </c>
      <c r="R16" s="2" t="s">
        <v>79</v>
      </c>
      <c r="S16" s="12" t="s">
        <v>67</v>
      </c>
      <c r="T16" s="12" t="s">
        <v>228</v>
      </c>
      <c r="U16" s="1" t="s">
        <v>156</v>
      </c>
      <c r="V16" s="12" t="s">
        <v>91</v>
      </c>
      <c r="W16" s="12" t="s">
        <v>83</v>
      </c>
      <c r="X16" s="12" t="s">
        <v>67</v>
      </c>
      <c r="Y16" s="12" t="s">
        <v>67</v>
      </c>
      <c r="Z16" s="12" t="s">
        <v>67</v>
      </c>
      <c r="AA16" s="12" t="s">
        <v>67</v>
      </c>
      <c r="AB16" s="12" t="s">
        <v>67</v>
      </c>
      <c r="AC16" s="12" t="s">
        <v>87</v>
      </c>
      <c r="AD16" s="12" t="s">
        <v>67</v>
      </c>
      <c r="AE16" s="12" t="s">
        <v>67</v>
      </c>
      <c r="AF16" s="12" t="s">
        <v>67</v>
      </c>
      <c r="AG16" s="1" t="s">
        <v>90</v>
      </c>
      <c r="AH16" s="2" t="s">
        <v>63</v>
      </c>
      <c r="AI16" s="5" t="s">
        <v>156</v>
      </c>
      <c r="AJ16" s="13" t="s">
        <v>67</v>
      </c>
      <c r="AK16" s="13" t="s">
        <v>67</v>
      </c>
      <c r="AL16" s="14" t="s">
        <v>67</v>
      </c>
      <c r="AM16" s="14" t="s">
        <v>67</v>
      </c>
      <c r="AN16" s="14" t="s">
        <v>67</v>
      </c>
      <c r="AO16" s="14" t="s">
        <v>67</v>
      </c>
      <c r="AP16" s="14" t="s">
        <v>67</v>
      </c>
      <c r="AQ16" s="12"/>
      <c r="AR16" s="12" t="s">
        <v>67</v>
      </c>
      <c r="AS16" s="2" t="s">
        <v>157</v>
      </c>
      <c r="AT16" s="1" t="s">
        <v>158</v>
      </c>
      <c r="AU16" s="1" t="s">
        <v>159</v>
      </c>
      <c r="AV16" s="15" t="s">
        <v>123</v>
      </c>
      <c r="AW16" s="12" t="s">
        <v>67</v>
      </c>
      <c r="AX16" s="12" t="s">
        <v>67</v>
      </c>
      <c r="AY16" s="11" t="s">
        <v>127</v>
      </c>
      <c r="AZ16" s="1" t="s">
        <v>70</v>
      </c>
      <c r="BA16" s="1" t="s">
        <v>143</v>
      </c>
      <c r="BB16" s="1" t="s">
        <v>195</v>
      </c>
      <c r="BC16" s="16" t="s">
        <v>100</v>
      </c>
      <c r="BD16" s="2" t="s">
        <v>101</v>
      </c>
      <c r="BE16" s="12"/>
      <c r="BF16" s="12"/>
      <c r="BG16" s="1" t="s">
        <v>67</v>
      </c>
      <c r="BH16" s="1" t="s">
        <v>67</v>
      </c>
      <c r="BI16" s="8" t="s">
        <v>67</v>
      </c>
      <c r="BJ16" s="12"/>
      <c r="BK16" s="12"/>
      <c r="BL16" s="12"/>
    </row>
    <row r="17" spans="1:64" s="17" customFormat="1" ht="20.25" customHeight="1" x14ac:dyDescent="0.35">
      <c r="A17" s="1">
        <v>14</v>
      </c>
      <c r="B17" s="8" t="str">
        <f t="shared" si="0"/>
        <v>Oct_Release_FixedOrders_J8&amp;9_COT_E2E_TOM_0014</v>
      </c>
      <c r="C17" s="1" t="s">
        <v>67</v>
      </c>
      <c r="D17" s="1" t="s">
        <v>67</v>
      </c>
      <c r="E17" s="1" t="s">
        <v>68</v>
      </c>
      <c r="F17" s="1" t="s">
        <v>67</v>
      </c>
      <c r="G17" s="9" t="str">
        <f t="shared" si="1"/>
        <v>A valid SSO SSJ Journey for COT Across NW</v>
      </c>
      <c r="H17" s="10" t="s">
        <v>69</v>
      </c>
      <c r="I17" s="10" t="s">
        <v>70</v>
      </c>
      <c r="J17" s="9" t="s">
        <v>128</v>
      </c>
      <c r="K17" s="11" t="s">
        <v>72</v>
      </c>
      <c r="L17" s="1" t="s">
        <v>73</v>
      </c>
      <c r="M17" s="2" t="s">
        <v>82</v>
      </c>
      <c r="N17" s="2" t="s">
        <v>81</v>
      </c>
      <c r="O17" s="2" t="s">
        <v>109</v>
      </c>
      <c r="P17" s="2" t="s">
        <v>145</v>
      </c>
      <c r="Q17" s="2" t="s">
        <v>146</v>
      </c>
      <c r="R17" s="2" t="s">
        <v>123</v>
      </c>
      <c r="S17" s="12" t="s">
        <v>67</v>
      </c>
      <c r="T17" s="12" t="s">
        <v>147</v>
      </c>
      <c r="U17" s="1" t="s">
        <v>148</v>
      </c>
      <c r="V17" s="12" t="s">
        <v>82</v>
      </c>
      <c r="W17" s="12" t="s">
        <v>135</v>
      </c>
      <c r="X17" s="12"/>
      <c r="Y17" s="12"/>
      <c r="Z17" s="12"/>
      <c r="AA17" s="12"/>
      <c r="AB17" s="12"/>
      <c r="AC17" s="12"/>
      <c r="AD17" s="12"/>
      <c r="AE17" s="12"/>
      <c r="AF17" s="12"/>
      <c r="AG17" s="1" t="s">
        <v>90</v>
      </c>
      <c r="AH17" s="2" t="s">
        <v>91</v>
      </c>
      <c r="AI17" s="5" t="s">
        <v>148</v>
      </c>
      <c r="AJ17" s="13"/>
      <c r="AK17" s="13"/>
      <c r="AL17" s="14" t="s">
        <v>67</v>
      </c>
      <c r="AM17" s="14" t="s">
        <v>67</v>
      </c>
      <c r="AN17" s="14" t="s">
        <v>67</v>
      </c>
      <c r="AO17" s="14" t="s">
        <v>67</v>
      </c>
      <c r="AP17" s="14" t="s">
        <v>67</v>
      </c>
      <c r="AQ17" s="12"/>
      <c r="AR17" s="12"/>
      <c r="AS17" s="16" t="s">
        <v>150</v>
      </c>
      <c r="AT17" s="16" t="s">
        <v>286</v>
      </c>
      <c r="AU17" s="16" t="s">
        <v>287</v>
      </c>
      <c r="AV17" s="15" t="s">
        <v>123</v>
      </c>
      <c r="AW17" s="12" t="s">
        <v>151</v>
      </c>
      <c r="AX17" s="12" t="s">
        <v>67</v>
      </c>
      <c r="AY17" s="11" t="s">
        <v>152</v>
      </c>
      <c r="AZ17" s="1" t="s">
        <v>70</v>
      </c>
      <c r="BA17" s="1" t="s">
        <v>143</v>
      </c>
      <c r="BB17" s="1" t="s">
        <v>144</v>
      </c>
      <c r="BC17" s="16" t="s">
        <v>120</v>
      </c>
      <c r="BD17" s="2" t="s">
        <v>101</v>
      </c>
      <c r="BE17" s="12"/>
      <c r="BF17" s="12"/>
      <c r="BG17" s="9" t="s">
        <v>153</v>
      </c>
      <c r="BH17" s="9" t="s">
        <v>154</v>
      </c>
      <c r="BI17" s="18" t="s">
        <v>155</v>
      </c>
      <c r="BJ17" s="12"/>
      <c r="BK17" s="12"/>
      <c r="BL17" s="12"/>
    </row>
    <row r="18" spans="1:64" s="17" customFormat="1" ht="20.25" customHeight="1" x14ac:dyDescent="0.35">
      <c r="A18" s="1">
        <v>15</v>
      </c>
      <c r="B18" s="8" t="str">
        <f t="shared" si="0"/>
        <v>Oct_Release_FixedOrders_J8&amp;9_COT_E2E_TOM_0015</v>
      </c>
      <c r="C18" s="1" t="s">
        <v>67</v>
      </c>
      <c r="D18" s="1" t="s">
        <v>67</v>
      </c>
      <c r="E18" s="1" t="s">
        <v>68</v>
      </c>
      <c r="F18" s="1" t="s">
        <v>67</v>
      </c>
      <c r="G18" s="9" t="str">
        <f t="shared" si="1"/>
        <v>A valid SSO SSJ Journey for COT Across NW</v>
      </c>
      <c r="H18" s="10" t="s">
        <v>70</v>
      </c>
      <c r="I18" s="10" t="s">
        <v>69</v>
      </c>
      <c r="J18" s="9" t="s">
        <v>71</v>
      </c>
      <c r="K18" s="11" t="s">
        <v>72</v>
      </c>
      <c r="L18" s="1" t="s">
        <v>73</v>
      </c>
      <c r="M18" s="2" t="s">
        <v>82</v>
      </c>
      <c r="N18" s="2" t="s">
        <v>81</v>
      </c>
      <c r="O18" s="2" t="s">
        <v>109</v>
      </c>
      <c r="P18" s="2" t="s">
        <v>110</v>
      </c>
      <c r="Q18" s="2" t="s">
        <v>111</v>
      </c>
      <c r="R18" s="2" t="s">
        <v>79</v>
      </c>
      <c r="S18" s="12" t="s">
        <v>67</v>
      </c>
      <c r="T18" s="12" t="s">
        <v>91</v>
      </c>
      <c r="U18" s="1" t="s">
        <v>81</v>
      </c>
      <c r="V18" s="12" t="s">
        <v>91</v>
      </c>
      <c r="W18" s="12" t="s">
        <v>83</v>
      </c>
      <c r="X18" s="12"/>
      <c r="Y18" s="12"/>
      <c r="Z18" s="20" t="s">
        <v>112</v>
      </c>
      <c r="AA18" s="21" t="s">
        <v>67</v>
      </c>
      <c r="AB18" s="20" t="s">
        <v>113</v>
      </c>
      <c r="AC18" s="20" t="s">
        <v>114</v>
      </c>
      <c r="AD18" s="20" t="s">
        <v>115</v>
      </c>
      <c r="AE18" s="20" t="s">
        <v>116</v>
      </c>
      <c r="AF18" s="20" t="s">
        <v>117</v>
      </c>
      <c r="AG18" s="1" t="s">
        <v>90</v>
      </c>
      <c r="AH18" s="2" t="s">
        <v>91</v>
      </c>
      <c r="AI18" s="5" t="s">
        <v>81</v>
      </c>
      <c r="AJ18" s="13"/>
      <c r="AK18" s="13"/>
      <c r="AL18" s="14" t="s">
        <v>67</v>
      </c>
      <c r="AM18" s="14" t="s">
        <v>94</v>
      </c>
      <c r="AN18" s="14" t="s">
        <v>95</v>
      </c>
      <c r="AO18" s="14">
        <v>1300</v>
      </c>
      <c r="AP18" s="14" t="s">
        <v>93</v>
      </c>
      <c r="AQ18" s="12"/>
      <c r="AR18" s="12"/>
      <c r="AS18" s="2" t="s">
        <v>118</v>
      </c>
      <c r="AT18" s="2" t="s">
        <v>288</v>
      </c>
      <c r="AU18" s="2" t="s">
        <v>92</v>
      </c>
      <c r="AV18" s="15" t="s">
        <v>79</v>
      </c>
      <c r="AW18" s="12" t="s">
        <v>67</v>
      </c>
      <c r="AX18" s="12" t="s">
        <v>67</v>
      </c>
      <c r="AY18" s="11" t="s">
        <v>67</v>
      </c>
      <c r="AZ18" s="1" t="s">
        <v>67</v>
      </c>
      <c r="BA18" s="1" t="s">
        <v>67</v>
      </c>
      <c r="BB18" s="1" t="s">
        <v>67</v>
      </c>
      <c r="BC18" s="16" t="s">
        <v>120</v>
      </c>
      <c r="BD18" s="2" t="s">
        <v>101</v>
      </c>
      <c r="BE18" s="12"/>
      <c r="BF18" s="12"/>
      <c r="BG18" s="1" t="s">
        <v>67</v>
      </c>
      <c r="BH18" s="1" t="s">
        <v>67</v>
      </c>
      <c r="BI18" s="8" t="s">
        <v>67</v>
      </c>
      <c r="BJ18" s="12"/>
      <c r="BK18" s="12"/>
      <c r="BL18" s="12"/>
    </row>
    <row r="19" spans="1:64" s="17" customFormat="1" ht="20.25" customHeight="1" x14ac:dyDescent="0.35">
      <c r="A19" s="1">
        <v>16</v>
      </c>
      <c r="B19" s="8" t="str">
        <f t="shared" si="0"/>
        <v>Oct_Release_FixedOrders_J8&amp;9_COT_E2E_TOM_0016</v>
      </c>
      <c r="C19" s="1" t="s">
        <v>67</v>
      </c>
      <c r="D19" s="1" t="s">
        <v>67</v>
      </c>
      <c r="E19" s="1" t="s">
        <v>68</v>
      </c>
      <c r="F19" s="1" t="s">
        <v>67</v>
      </c>
      <c r="G19" s="9" t="str">
        <f t="shared" si="1"/>
        <v>A valid SSO SSJ Journey for COT Across NW</v>
      </c>
      <c r="H19" s="10" t="s">
        <v>69</v>
      </c>
      <c r="I19" s="10" t="s">
        <v>70</v>
      </c>
      <c r="J19" s="9" t="s">
        <v>197</v>
      </c>
      <c r="K19" s="11" t="s">
        <v>72</v>
      </c>
      <c r="L19" s="1" t="s">
        <v>73</v>
      </c>
      <c r="M19" s="2" t="s">
        <v>82</v>
      </c>
      <c r="N19" s="2" t="s">
        <v>81</v>
      </c>
      <c r="O19" s="2" t="s">
        <v>109</v>
      </c>
      <c r="P19" s="2" t="s">
        <v>121</v>
      </c>
      <c r="Q19" s="2" t="s">
        <v>122</v>
      </c>
      <c r="R19" s="2" t="s">
        <v>79</v>
      </c>
      <c r="S19" s="12" t="s">
        <v>67</v>
      </c>
      <c r="T19" s="12" t="s">
        <v>74</v>
      </c>
      <c r="U19" s="1" t="s">
        <v>198</v>
      </c>
      <c r="V19" s="12" t="s">
        <v>74</v>
      </c>
      <c r="W19" s="12" t="s">
        <v>83</v>
      </c>
      <c r="X19" s="12"/>
      <c r="Y19" s="12"/>
      <c r="Z19" s="22" t="s">
        <v>199</v>
      </c>
      <c r="AA19" s="25" t="s">
        <v>289</v>
      </c>
      <c r="AB19" s="12"/>
      <c r="AC19" s="12"/>
      <c r="AD19" s="12"/>
      <c r="AE19" s="12"/>
      <c r="AF19" s="24" t="s">
        <v>200</v>
      </c>
      <c r="AG19" s="1" t="s">
        <v>90</v>
      </c>
      <c r="AH19" s="2" t="s">
        <v>91</v>
      </c>
      <c r="AI19" s="5" t="s">
        <v>190</v>
      </c>
      <c r="AJ19" s="13" t="s">
        <v>69</v>
      </c>
      <c r="AK19" s="13"/>
      <c r="AL19" s="14" t="s">
        <v>67</v>
      </c>
      <c r="AM19" s="14" t="s">
        <v>67</v>
      </c>
      <c r="AN19" s="14" t="s">
        <v>67</v>
      </c>
      <c r="AO19" s="14" t="s">
        <v>67</v>
      </c>
      <c r="AP19" s="14" t="s">
        <v>67</v>
      </c>
      <c r="AQ19" s="12"/>
      <c r="AR19" s="12" t="s">
        <v>67</v>
      </c>
      <c r="AS19" s="5" t="s">
        <v>150</v>
      </c>
      <c r="AT19" s="5" t="s">
        <v>290</v>
      </c>
      <c r="AU19" s="5" t="s">
        <v>189</v>
      </c>
      <c r="AV19" s="15" t="s">
        <v>123</v>
      </c>
      <c r="AW19" s="12" t="s">
        <v>67</v>
      </c>
      <c r="AX19" s="12" t="s">
        <v>67</v>
      </c>
      <c r="AY19" s="11" t="s">
        <v>127</v>
      </c>
      <c r="AZ19" s="1" t="s">
        <v>70</v>
      </c>
      <c r="BA19" s="1" t="s">
        <v>143</v>
      </c>
      <c r="BB19" s="1" t="s">
        <v>195</v>
      </c>
      <c r="BC19" s="16" t="s">
        <v>120</v>
      </c>
      <c r="BD19" s="2" t="s">
        <v>101</v>
      </c>
      <c r="BE19" s="12"/>
      <c r="BF19" s="12"/>
      <c r="BG19" s="1" t="s">
        <v>67</v>
      </c>
      <c r="BH19" s="1" t="s">
        <v>67</v>
      </c>
      <c r="BI19" s="8" t="s">
        <v>67</v>
      </c>
      <c r="BJ19" s="12"/>
      <c r="BK19" s="12"/>
      <c r="BL19" s="12"/>
    </row>
    <row r="20" spans="1:64" s="17" customFormat="1" ht="20.25" customHeight="1" x14ac:dyDescent="0.35">
      <c r="A20" s="1">
        <v>17</v>
      </c>
      <c r="B20" s="8" t="str">
        <f t="shared" si="0"/>
        <v>Oct_Release_FixedOrders_J8&amp;9_COT_E2E_TOM_0017</v>
      </c>
      <c r="C20" s="1" t="s">
        <v>67</v>
      </c>
      <c r="D20" s="1" t="s">
        <v>67</v>
      </c>
      <c r="E20" s="1" t="s">
        <v>68</v>
      </c>
      <c r="F20" s="1" t="s">
        <v>67</v>
      </c>
      <c r="G20" s="9" t="str">
        <f t="shared" si="1"/>
        <v>A valid SSO SSJ Journey for COT Across NW</v>
      </c>
      <c r="H20" s="10" t="s">
        <v>70</v>
      </c>
      <c r="I20" s="10" t="s">
        <v>69</v>
      </c>
      <c r="J20" s="9" t="s">
        <v>71</v>
      </c>
      <c r="K20" s="11" t="s">
        <v>72</v>
      </c>
      <c r="L20" s="1" t="s">
        <v>73</v>
      </c>
      <c r="M20" s="2" t="s">
        <v>82</v>
      </c>
      <c r="N20" s="2" t="s">
        <v>81</v>
      </c>
      <c r="O20" s="2" t="s">
        <v>109</v>
      </c>
      <c r="P20" s="2" t="s">
        <v>121</v>
      </c>
      <c r="Q20" s="2" t="s">
        <v>122</v>
      </c>
      <c r="R20" s="2" t="s">
        <v>123</v>
      </c>
      <c r="S20" s="12" t="s">
        <v>67</v>
      </c>
      <c r="T20" s="12" t="s">
        <v>91</v>
      </c>
      <c r="U20" s="1" t="s">
        <v>165</v>
      </c>
      <c r="V20" s="12" t="s">
        <v>91</v>
      </c>
      <c r="W20" s="12" t="s">
        <v>83</v>
      </c>
      <c r="X20" s="12"/>
      <c r="Y20" s="12"/>
      <c r="Z20" s="12"/>
      <c r="AA20" s="12"/>
      <c r="AB20" s="12"/>
      <c r="AC20" s="12"/>
      <c r="AD20" s="12"/>
      <c r="AE20" s="12"/>
      <c r="AF20" s="12"/>
      <c r="AG20" s="1" t="s">
        <v>90</v>
      </c>
      <c r="AH20" s="2" t="s">
        <v>91</v>
      </c>
      <c r="AI20" s="5" t="s">
        <v>165</v>
      </c>
      <c r="AJ20" s="13"/>
      <c r="AK20" s="13"/>
      <c r="AL20" s="14" t="s">
        <v>67</v>
      </c>
      <c r="AM20" s="14" t="s">
        <v>67</v>
      </c>
      <c r="AN20" s="14" t="s">
        <v>67</v>
      </c>
      <c r="AO20" s="14" t="s">
        <v>67</v>
      </c>
      <c r="AP20" s="14" t="s">
        <v>67</v>
      </c>
      <c r="AQ20" s="12"/>
      <c r="AR20" s="12"/>
      <c r="AS20" s="2" t="s">
        <v>118</v>
      </c>
      <c r="AT20" s="2" t="s">
        <v>207</v>
      </c>
      <c r="AU20" s="2" t="s">
        <v>202</v>
      </c>
      <c r="AV20" s="15" t="s">
        <v>123</v>
      </c>
      <c r="AW20" s="12" t="s">
        <v>67</v>
      </c>
      <c r="AX20" s="12" t="s">
        <v>67</v>
      </c>
      <c r="AY20" s="11" t="s">
        <v>152</v>
      </c>
      <c r="AZ20" s="1" t="s">
        <v>70</v>
      </c>
      <c r="BA20" s="1" t="s">
        <v>125</v>
      </c>
      <c r="BB20" s="1" t="s">
        <v>126</v>
      </c>
      <c r="BC20" s="16" t="s">
        <v>100</v>
      </c>
      <c r="BD20" s="2" t="s">
        <v>101</v>
      </c>
      <c r="BE20" s="12"/>
      <c r="BF20" s="12"/>
      <c r="BG20" s="9" t="s">
        <v>153</v>
      </c>
      <c r="BH20" s="9" t="s">
        <v>154</v>
      </c>
      <c r="BI20" s="18" t="s">
        <v>155</v>
      </c>
      <c r="BJ20" s="12"/>
      <c r="BK20" s="12"/>
      <c r="BL20" s="12"/>
    </row>
    <row r="21" spans="1:64" s="17" customFormat="1" ht="20.25" customHeight="1" x14ac:dyDescent="0.35">
      <c r="A21" s="1">
        <v>18</v>
      </c>
      <c r="B21" s="8" t="str">
        <f t="shared" si="0"/>
        <v>Oct_Release_FixedOrders_J8&amp;9_COT_E2E_TOM_0018</v>
      </c>
      <c r="C21" s="1" t="s">
        <v>67</v>
      </c>
      <c r="D21" s="1" t="s">
        <v>67</v>
      </c>
      <c r="E21" s="1" t="s">
        <v>68</v>
      </c>
      <c r="F21" s="1" t="s">
        <v>67</v>
      </c>
      <c r="G21" s="9" t="str">
        <f t="shared" si="1"/>
        <v>A valid SSO SSJ Journey for COT Across NW</v>
      </c>
      <c r="H21" s="10" t="s">
        <v>69</v>
      </c>
      <c r="I21" s="10" t="s">
        <v>70</v>
      </c>
      <c r="J21" s="9" t="s">
        <v>128</v>
      </c>
      <c r="K21" s="11" t="s">
        <v>72</v>
      </c>
      <c r="L21" s="1" t="s">
        <v>73</v>
      </c>
      <c r="M21" s="2" t="s">
        <v>82</v>
      </c>
      <c r="N21" s="2" t="s">
        <v>81</v>
      </c>
      <c r="O21" s="2" t="s">
        <v>109</v>
      </c>
      <c r="P21" s="2" t="s">
        <v>250</v>
      </c>
      <c r="Q21" s="2" t="s">
        <v>251</v>
      </c>
      <c r="R21" s="2" t="s">
        <v>79</v>
      </c>
      <c r="S21" s="12" t="s">
        <v>67</v>
      </c>
      <c r="T21" s="12" t="s">
        <v>252</v>
      </c>
      <c r="U21" s="9" t="s">
        <v>253</v>
      </c>
      <c r="V21" s="12" t="s">
        <v>82</v>
      </c>
      <c r="W21" s="12" t="s">
        <v>241</v>
      </c>
      <c r="X21" s="12" t="s">
        <v>67</v>
      </c>
      <c r="Y21" s="12" t="s">
        <v>67</v>
      </c>
      <c r="Z21" s="12" t="s">
        <v>67</v>
      </c>
      <c r="AA21" s="12" t="s">
        <v>67</v>
      </c>
      <c r="AB21" s="12" t="s">
        <v>67</v>
      </c>
      <c r="AC21" s="12" t="s">
        <v>67</v>
      </c>
      <c r="AD21" s="12" t="s">
        <v>67</v>
      </c>
      <c r="AE21" s="12" t="s">
        <v>67</v>
      </c>
      <c r="AF21" s="12" t="s">
        <v>67</v>
      </c>
      <c r="AG21" s="1" t="s">
        <v>90</v>
      </c>
      <c r="AH21" s="2" t="s">
        <v>74</v>
      </c>
      <c r="AI21" s="16" t="s">
        <v>253</v>
      </c>
      <c r="AJ21" s="13" t="s">
        <v>69</v>
      </c>
      <c r="AK21" s="13" t="s">
        <v>189</v>
      </c>
      <c r="AL21" s="14" t="s">
        <v>67</v>
      </c>
      <c r="AM21" s="14" t="s">
        <v>67</v>
      </c>
      <c r="AN21" s="14" t="s">
        <v>67</v>
      </c>
      <c r="AO21" s="14" t="s">
        <v>67</v>
      </c>
      <c r="AP21" s="14" t="s">
        <v>67</v>
      </c>
      <c r="AQ21" s="13" t="s">
        <v>237</v>
      </c>
      <c r="AR21" s="12" t="s">
        <v>67</v>
      </c>
      <c r="AS21" s="2" t="s">
        <v>76</v>
      </c>
      <c r="AT21" s="2" t="s">
        <v>254</v>
      </c>
      <c r="AU21" s="19" t="s">
        <v>255</v>
      </c>
      <c r="AV21" s="15" t="s">
        <v>133</v>
      </c>
      <c r="AW21" s="12" t="s">
        <v>67</v>
      </c>
      <c r="AX21" s="12" t="s">
        <v>67</v>
      </c>
      <c r="AY21" s="11" t="s">
        <v>127</v>
      </c>
      <c r="AZ21" s="1" t="s">
        <v>222</v>
      </c>
      <c r="BA21" s="1" t="s">
        <v>143</v>
      </c>
      <c r="BB21" s="1" t="s">
        <v>195</v>
      </c>
      <c r="BC21" s="16" t="s">
        <v>120</v>
      </c>
      <c r="BD21" s="2" t="s">
        <v>101</v>
      </c>
      <c r="BE21" s="12"/>
      <c r="BF21" s="12"/>
      <c r="BG21" s="1" t="s">
        <v>67</v>
      </c>
      <c r="BH21" s="1" t="s">
        <v>67</v>
      </c>
      <c r="BI21" s="8" t="s">
        <v>67</v>
      </c>
      <c r="BJ21" s="12"/>
      <c r="BK21" s="12"/>
      <c r="BL21" s="12"/>
    </row>
    <row r="22" spans="1:64" s="17" customFormat="1" ht="20.25" customHeight="1" x14ac:dyDescent="0.35">
      <c r="A22" s="1">
        <v>19</v>
      </c>
      <c r="B22" s="8" t="str">
        <f t="shared" si="0"/>
        <v>Oct_Release_FixedOrders_J8&amp;9_COT_E2E_TOM_0019</v>
      </c>
      <c r="C22" s="1" t="s">
        <v>67</v>
      </c>
      <c r="D22" s="1" t="s">
        <v>67</v>
      </c>
      <c r="E22" s="1" t="s">
        <v>68</v>
      </c>
      <c r="F22" s="1" t="s">
        <v>67</v>
      </c>
      <c r="G22" s="9" t="str">
        <f t="shared" si="1"/>
        <v>A valid SSO SSJ Journey for COT Across NW</v>
      </c>
      <c r="H22" s="10" t="s">
        <v>69</v>
      </c>
      <c r="I22" s="10" t="s">
        <v>70</v>
      </c>
      <c r="J22" s="9" t="s">
        <v>128</v>
      </c>
      <c r="K22" s="11" t="s">
        <v>72</v>
      </c>
      <c r="L22" s="1" t="s">
        <v>73</v>
      </c>
      <c r="M22" s="2" t="s">
        <v>82</v>
      </c>
      <c r="N22" s="2" t="s">
        <v>81</v>
      </c>
      <c r="O22" s="2" t="s">
        <v>257</v>
      </c>
      <c r="P22" s="2" t="s">
        <v>258</v>
      </c>
      <c r="Q22" s="2" t="s">
        <v>108</v>
      </c>
      <c r="R22" s="2" t="s">
        <v>123</v>
      </c>
      <c r="S22" s="12" t="s">
        <v>67</v>
      </c>
      <c r="T22" s="12" t="s">
        <v>74</v>
      </c>
      <c r="U22" s="1" t="s">
        <v>75</v>
      </c>
      <c r="V22" s="12" t="s">
        <v>74</v>
      </c>
      <c r="W22" s="12" t="s">
        <v>83</v>
      </c>
      <c r="X22" s="12" t="s">
        <v>67</v>
      </c>
      <c r="Y22" s="12" t="s">
        <v>67</v>
      </c>
      <c r="Z22" s="12" t="s">
        <v>67</v>
      </c>
      <c r="AA22" s="12" t="s">
        <v>67</v>
      </c>
      <c r="AB22" s="12" t="s">
        <v>67</v>
      </c>
      <c r="AC22" s="12" t="s">
        <v>67</v>
      </c>
      <c r="AD22" s="12" t="s">
        <v>67</v>
      </c>
      <c r="AE22" s="12" t="s">
        <v>67</v>
      </c>
      <c r="AF22" s="12" t="s">
        <v>67</v>
      </c>
      <c r="AG22" s="1" t="s">
        <v>90</v>
      </c>
      <c r="AH22" s="2" t="s">
        <v>74</v>
      </c>
      <c r="AI22" s="5" t="s">
        <v>75</v>
      </c>
      <c r="AJ22" s="13" t="s">
        <v>69</v>
      </c>
      <c r="AK22" s="13" t="s">
        <v>78</v>
      </c>
      <c r="AL22" s="14" t="s">
        <v>67</v>
      </c>
      <c r="AM22" s="14" t="s">
        <v>67</v>
      </c>
      <c r="AN22" s="14" t="s">
        <v>67</v>
      </c>
      <c r="AO22" s="14" t="s">
        <v>67</v>
      </c>
      <c r="AP22" s="14" t="s">
        <v>67</v>
      </c>
      <c r="AQ22" s="13" t="s">
        <v>237</v>
      </c>
      <c r="AR22" s="12" t="s">
        <v>67</v>
      </c>
      <c r="AS22" s="2" t="s">
        <v>76</v>
      </c>
      <c r="AT22" s="2" t="s">
        <v>259</v>
      </c>
      <c r="AU22" s="2" t="s">
        <v>202</v>
      </c>
      <c r="AV22" s="15" t="s">
        <v>79</v>
      </c>
      <c r="AW22" s="12" t="s">
        <v>67</v>
      </c>
      <c r="AX22" s="12" t="s">
        <v>67</v>
      </c>
      <c r="AY22" s="11" t="s">
        <v>67</v>
      </c>
      <c r="AZ22" s="1" t="s">
        <v>67</v>
      </c>
      <c r="BA22" s="1" t="s">
        <v>67</v>
      </c>
      <c r="BB22" s="1" t="s">
        <v>186</v>
      </c>
      <c r="BC22" s="16" t="s">
        <v>100</v>
      </c>
      <c r="BD22" s="2" t="s">
        <v>101</v>
      </c>
      <c r="BE22" s="12"/>
      <c r="BF22" s="12"/>
      <c r="BG22" s="1" t="s">
        <v>67</v>
      </c>
      <c r="BH22" s="1" t="s">
        <v>67</v>
      </c>
      <c r="BI22" s="8" t="s">
        <v>67</v>
      </c>
      <c r="BJ22" s="12"/>
      <c r="BK22" s="12"/>
      <c r="BL22" s="12"/>
    </row>
    <row r="23" spans="1:64" s="17" customFormat="1" ht="20.25" customHeight="1" x14ac:dyDescent="0.35">
      <c r="A23" s="1">
        <v>20</v>
      </c>
      <c r="B23" s="8" t="str">
        <f t="shared" si="0"/>
        <v>Oct_Release_FixedOrders_J8&amp;9_COT_E2E_TOM_0020</v>
      </c>
      <c r="C23" s="1" t="s">
        <v>67</v>
      </c>
      <c r="D23" s="1" t="s">
        <v>67</v>
      </c>
      <c r="E23" s="1" t="s">
        <v>68</v>
      </c>
      <c r="F23" s="1" t="s">
        <v>67</v>
      </c>
      <c r="G23" s="9" t="str">
        <f t="shared" si="1"/>
        <v>A valid SSO SSJ Journey for COT Across NW</v>
      </c>
      <c r="H23" s="10" t="s">
        <v>70</v>
      </c>
      <c r="I23" s="10" t="s">
        <v>69</v>
      </c>
      <c r="J23" s="9" t="s">
        <v>128</v>
      </c>
      <c r="K23" s="11" t="s">
        <v>72</v>
      </c>
      <c r="L23" s="1" t="s">
        <v>73</v>
      </c>
      <c r="M23" s="2" t="s">
        <v>82</v>
      </c>
      <c r="N23" s="2" t="s">
        <v>81</v>
      </c>
      <c r="O23" s="2" t="s">
        <v>109</v>
      </c>
      <c r="P23" s="2" t="s">
        <v>231</v>
      </c>
      <c r="Q23" s="2" t="s">
        <v>92</v>
      </c>
      <c r="R23" s="2" t="s">
        <v>123</v>
      </c>
      <c r="S23" s="12" t="s">
        <v>67</v>
      </c>
      <c r="T23" s="12" t="s">
        <v>223</v>
      </c>
      <c r="U23" s="1" t="s">
        <v>129</v>
      </c>
      <c r="V23" s="12" t="s">
        <v>91</v>
      </c>
      <c r="W23" s="12" t="s">
        <v>83</v>
      </c>
      <c r="X23" s="12" t="s">
        <v>67</v>
      </c>
      <c r="Y23" s="12" t="s">
        <v>67</v>
      </c>
      <c r="Z23" s="12" t="s">
        <v>67</v>
      </c>
      <c r="AA23" s="12" t="s">
        <v>67</v>
      </c>
      <c r="AB23" s="12" t="s">
        <v>67</v>
      </c>
      <c r="AC23" s="12" t="s">
        <v>87</v>
      </c>
      <c r="AD23" s="12" t="s">
        <v>67</v>
      </c>
      <c r="AE23" s="12" t="s">
        <v>67</v>
      </c>
      <c r="AF23" s="12" t="s">
        <v>67</v>
      </c>
      <c r="AG23" s="1" t="s">
        <v>90</v>
      </c>
      <c r="AH23" s="2" t="s">
        <v>63</v>
      </c>
      <c r="AI23" s="5" t="s">
        <v>129</v>
      </c>
      <c r="AJ23" s="13" t="s">
        <v>67</v>
      </c>
      <c r="AK23" s="13" t="s">
        <v>67</v>
      </c>
      <c r="AL23" s="14" t="s">
        <v>67</v>
      </c>
      <c r="AM23" s="14" t="s">
        <v>67</v>
      </c>
      <c r="AN23" s="14" t="s">
        <v>67</v>
      </c>
      <c r="AO23" s="14" t="s">
        <v>67</v>
      </c>
      <c r="AP23" s="14" t="s">
        <v>67</v>
      </c>
      <c r="AQ23" s="12"/>
      <c r="AR23" s="12" t="s">
        <v>67</v>
      </c>
      <c r="AS23" s="2" t="s">
        <v>130</v>
      </c>
      <c r="AT23" s="1" t="s">
        <v>131</v>
      </c>
      <c r="AU23" s="1" t="s">
        <v>132</v>
      </c>
      <c r="AV23" s="15" t="s">
        <v>133</v>
      </c>
      <c r="AW23" s="12" t="s">
        <v>67</v>
      </c>
      <c r="AX23" s="12" t="s">
        <v>67</v>
      </c>
      <c r="AY23" s="11" t="s">
        <v>127</v>
      </c>
      <c r="AZ23" s="1" t="s">
        <v>222</v>
      </c>
      <c r="BA23" s="1" t="s">
        <v>143</v>
      </c>
      <c r="BB23" s="1" t="s">
        <v>144</v>
      </c>
      <c r="BC23" s="16" t="s">
        <v>100</v>
      </c>
      <c r="BD23" s="2" t="s">
        <v>101</v>
      </c>
      <c r="BE23" s="12"/>
      <c r="BF23" s="12"/>
      <c r="BG23" s="1" t="s">
        <v>67</v>
      </c>
      <c r="BH23" s="1" t="s">
        <v>67</v>
      </c>
      <c r="BI23" s="8" t="s">
        <v>67</v>
      </c>
      <c r="BJ23" s="12"/>
      <c r="BK23" s="12"/>
      <c r="BL23" s="12"/>
    </row>
    <row r="24" spans="1:64" s="17" customFormat="1" ht="20.25" customHeight="1" x14ac:dyDescent="0.35">
      <c r="A24" s="1">
        <v>21</v>
      </c>
      <c r="B24" s="8" t="str">
        <f t="shared" si="0"/>
        <v>Oct_Release_FixedOrders_J8&amp;9_COT_E2E_TOM_0021</v>
      </c>
      <c r="C24" s="1" t="s">
        <v>67</v>
      </c>
      <c r="D24" s="1" t="s">
        <v>67</v>
      </c>
      <c r="E24" s="1" t="s">
        <v>68</v>
      </c>
      <c r="F24" s="1" t="s">
        <v>67</v>
      </c>
      <c r="G24" s="9" t="str">
        <f t="shared" si="1"/>
        <v>A valid SSO SSJ Journey for COT Across NW</v>
      </c>
      <c r="H24" s="10" t="s">
        <v>69</v>
      </c>
      <c r="I24" s="10" t="s">
        <v>70</v>
      </c>
      <c r="J24" s="9" t="s">
        <v>71</v>
      </c>
      <c r="K24" s="11" t="s">
        <v>72</v>
      </c>
      <c r="L24" s="1" t="s">
        <v>73</v>
      </c>
      <c r="M24" s="2" t="s">
        <v>82</v>
      </c>
      <c r="N24" s="2" t="s">
        <v>81</v>
      </c>
      <c r="O24" s="2" t="s">
        <v>109</v>
      </c>
      <c r="P24" s="2" t="s">
        <v>121</v>
      </c>
      <c r="Q24" s="2" t="s">
        <v>122</v>
      </c>
      <c r="R24" s="2" t="s">
        <v>79</v>
      </c>
      <c r="S24" s="12" t="s">
        <v>67</v>
      </c>
      <c r="T24" s="12" t="s">
        <v>228</v>
      </c>
      <c r="U24" s="1" t="s">
        <v>156</v>
      </c>
      <c r="V24" s="12" t="s">
        <v>91</v>
      </c>
      <c r="W24" s="12" t="s">
        <v>83</v>
      </c>
      <c r="X24" s="12" t="s">
        <v>67</v>
      </c>
      <c r="Y24" s="12" t="s">
        <v>67</v>
      </c>
      <c r="Z24" s="12" t="s">
        <v>67</v>
      </c>
      <c r="AA24" s="12" t="s">
        <v>67</v>
      </c>
      <c r="AB24" s="12" t="s">
        <v>67</v>
      </c>
      <c r="AC24" s="12" t="s">
        <v>87</v>
      </c>
      <c r="AD24" s="12" t="s">
        <v>67</v>
      </c>
      <c r="AE24" s="12" t="s">
        <v>67</v>
      </c>
      <c r="AF24" s="12" t="s">
        <v>67</v>
      </c>
      <c r="AG24" s="1" t="s">
        <v>90</v>
      </c>
      <c r="AH24" s="2" t="s">
        <v>63</v>
      </c>
      <c r="AI24" s="5" t="s">
        <v>156</v>
      </c>
      <c r="AJ24" s="13" t="s">
        <v>67</v>
      </c>
      <c r="AK24" s="13" t="s">
        <v>67</v>
      </c>
      <c r="AL24" s="14" t="s">
        <v>67</v>
      </c>
      <c r="AM24" s="14" t="s">
        <v>67</v>
      </c>
      <c r="AN24" s="14" t="s">
        <v>67</v>
      </c>
      <c r="AO24" s="14" t="s">
        <v>67</v>
      </c>
      <c r="AP24" s="14" t="s">
        <v>67</v>
      </c>
      <c r="AQ24" s="12"/>
      <c r="AR24" s="12" t="s">
        <v>67</v>
      </c>
      <c r="AS24" s="2" t="s">
        <v>157</v>
      </c>
      <c r="AT24" s="1" t="s">
        <v>177</v>
      </c>
      <c r="AU24" s="1" t="s">
        <v>178</v>
      </c>
      <c r="AV24" s="15" t="s">
        <v>123</v>
      </c>
      <c r="AW24" s="12" t="s">
        <v>67</v>
      </c>
      <c r="AX24" s="12" t="s">
        <v>67</v>
      </c>
      <c r="AY24" s="11" t="s">
        <v>152</v>
      </c>
      <c r="AZ24" s="1" t="s">
        <v>70</v>
      </c>
      <c r="BA24" s="1" t="s">
        <v>143</v>
      </c>
      <c r="BB24" s="1" t="s">
        <v>195</v>
      </c>
      <c r="BC24" s="16" t="s">
        <v>100</v>
      </c>
      <c r="BD24" s="2" t="s">
        <v>101</v>
      </c>
      <c r="BE24" s="12"/>
      <c r="BF24" s="12"/>
      <c r="BG24" s="9" t="s">
        <v>153</v>
      </c>
      <c r="BH24" s="9" t="s">
        <v>196</v>
      </c>
      <c r="BI24" s="18" t="s">
        <v>155</v>
      </c>
      <c r="BJ24" s="12"/>
      <c r="BK24" s="12"/>
      <c r="BL24" s="12"/>
    </row>
    <row r="25" spans="1:64" s="17" customFormat="1" ht="20.25" customHeight="1" x14ac:dyDescent="0.35">
      <c r="A25" s="1">
        <v>22</v>
      </c>
      <c r="B25" s="8" t="str">
        <f t="shared" si="0"/>
        <v>Oct_Release_FixedOrders_J8&amp;9_COT_E2E_TOM_0022</v>
      </c>
      <c r="C25" s="1" t="s">
        <v>67</v>
      </c>
      <c r="D25" s="1" t="s">
        <v>67</v>
      </c>
      <c r="E25" s="1" t="s">
        <v>67</v>
      </c>
      <c r="F25" s="1" t="s">
        <v>68</v>
      </c>
      <c r="G25" s="9" t="str">
        <f t="shared" si="1"/>
        <v>A valid SSO SSJ Journey for COT Across NW</v>
      </c>
      <c r="H25" s="10" t="s">
        <v>69</v>
      </c>
      <c r="I25" s="10" t="s">
        <v>70</v>
      </c>
      <c r="J25" s="9" t="s">
        <v>128</v>
      </c>
      <c r="K25" s="11" t="s">
        <v>72</v>
      </c>
      <c r="L25" s="1" t="s">
        <v>73</v>
      </c>
      <c r="M25" s="2" t="s">
        <v>63</v>
      </c>
      <c r="N25" s="2" t="s">
        <v>129</v>
      </c>
      <c r="O25" s="5" t="s">
        <v>130</v>
      </c>
      <c r="P25" s="1" t="s">
        <v>131</v>
      </c>
      <c r="Q25" s="1" t="s">
        <v>132</v>
      </c>
      <c r="R25" s="2" t="s">
        <v>133</v>
      </c>
      <c r="S25" s="12" t="s">
        <v>67</v>
      </c>
      <c r="T25" s="12" t="s">
        <v>223</v>
      </c>
      <c r="U25" s="1" t="s">
        <v>156</v>
      </c>
      <c r="V25" s="12" t="s">
        <v>91</v>
      </c>
      <c r="W25" s="12" t="s">
        <v>224</v>
      </c>
      <c r="X25" s="12" t="s">
        <v>67</v>
      </c>
      <c r="Y25" s="12" t="s">
        <v>67</v>
      </c>
      <c r="Z25" s="12" t="s">
        <v>67</v>
      </c>
      <c r="AA25" s="12" t="s">
        <v>67</v>
      </c>
      <c r="AB25" s="12" t="s">
        <v>67</v>
      </c>
      <c r="AC25" s="12" t="s">
        <v>87</v>
      </c>
      <c r="AD25" s="12" t="s">
        <v>67</v>
      </c>
      <c r="AE25" s="12" t="s">
        <v>67</v>
      </c>
      <c r="AF25" s="12" t="s">
        <v>67</v>
      </c>
      <c r="AG25" s="1" t="s">
        <v>90</v>
      </c>
      <c r="AH25" s="2" t="s">
        <v>63</v>
      </c>
      <c r="AI25" s="5" t="s">
        <v>156</v>
      </c>
      <c r="AJ25" s="13" t="s">
        <v>67</v>
      </c>
      <c r="AK25" s="13" t="s">
        <v>67</v>
      </c>
      <c r="AL25" s="14" t="s">
        <v>67</v>
      </c>
      <c r="AM25" s="14" t="s">
        <v>67</v>
      </c>
      <c r="AN25" s="14" t="s">
        <v>67</v>
      </c>
      <c r="AO25" s="14" t="s">
        <v>67</v>
      </c>
      <c r="AP25" s="14" t="s">
        <v>67</v>
      </c>
      <c r="AQ25" s="12"/>
      <c r="AR25" s="12" t="s">
        <v>67</v>
      </c>
      <c r="AS25" s="2" t="s">
        <v>157</v>
      </c>
      <c r="AT25" s="1" t="s">
        <v>226</v>
      </c>
      <c r="AU25" s="1" t="s">
        <v>227</v>
      </c>
      <c r="AV25" s="15" t="s">
        <v>123</v>
      </c>
      <c r="AW25" s="12" t="s">
        <v>67</v>
      </c>
      <c r="AX25" s="12" t="s">
        <v>67</v>
      </c>
      <c r="AY25" s="11" t="s">
        <v>127</v>
      </c>
      <c r="AZ25" s="1" t="s">
        <v>70</v>
      </c>
      <c r="BA25" s="1" t="s">
        <v>143</v>
      </c>
      <c r="BB25" s="1" t="s">
        <v>144</v>
      </c>
      <c r="BC25" s="16" t="s">
        <v>120</v>
      </c>
      <c r="BD25" s="2" t="s">
        <v>101</v>
      </c>
      <c r="BE25" s="12"/>
      <c r="BF25" s="12"/>
      <c r="BG25" s="1" t="s">
        <v>67</v>
      </c>
      <c r="BH25" s="1" t="s">
        <v>67</v>
      </c>
      <c r="BI25" s="8" t="s">
        <v>67</v>
      </c>
      <c r="BJ25" s="12"/>
      <c r="BK25" s="12"/>
      <c r="BL25" s="12"/>
    </row>
    <row r="26" spans="1:64" s="17" customFormat="1" ht="20.25" customHeight="1" x14ac:dyDescent="0.35">
      <c r="A26" s="1">
        <v>23</v>
      </c>
      <c r="B26" s="8" t="str">
        <f t="shared" si="0"/>
        <v>Oct_Release_FixedOrders_J8&amp;9_COT_E2E_TOM_0023</v>
      </c>
      <c r="C26" s="1" t="s">
        <v>67</v>
      </c>
      <c r="D26" s="1" t="s">
        <v>67</v>
      </c>
      <c r="E26" s="1" t="s">
        <v>67</v>
      </c>
      <c r="F26" s="1" t="s">
        <v>68</v>
      </c>
      <c r="G26" s="9" t="str">
        <f t="shared" si="1"/>
        <v>A valid SSO SSJ Journey for COT Across NW</v>
      </c>
      <c r="H26" s="10" t="s">
        <v>70</v>
      </c>
      <c r="I26" s="10" t="s">
        <v>69</v>
      </c>
      <c r="J26" s="9" t="s">
        <v>128</v>
      </c>
      <c r="K26" s="11" t="s">
        <v>72</v>
      </c>
      <c r="L26" s="1" t="s">
        <v>73</v>
      </c>
      <c r="M26" s="2" t="s">
        <v>63</v>
      </c>
      <c r="N26" s="2" t="s">
        <v>156</v>
      </c>
      <c r="O26" s="5" t="s">
        <v>157</v>
      </c>
      <c r="P26" s="1" t="s">
        <v>226</v>
      </c>
      <c r="Q26" s="1" t="s">
        <v>227</v>
      </c>
      <c r="R26" s="2" t="s">
        <v>123</v>
      </c>
      <c r="S26" s="12" t="s">
        <v>67</v>
      </c>
      <c r="T26" s="12" t="s">
        <v>223</v>
      </c>
      <c r="U26" s="1" t="s">
        <v>129</v>
      </c>
      <c r="V26" s="12" t="s">
        <v>91</v>
      </c>
      <c r="W26" s="12" t="s">
        <v>83</v>
      </c>
      <c r="X26" s="12" t="s">
        <v>67</v>
      </c>
      <c r="Y26" s="12" t="s">
        <v>67</v>
      </c>
      <c r="Z26" s="12" t="s">
        <v>67</v>
      </c>
      <c r="AA26" s="12" t="s">
        <v>67</v>
      </c>
      <c r="AB26" s="12" t="s">
        <v>67</v>
      </c>
      <c r="AC26" s="12" t="s">
        <v>87</v>
      </c>
      <c r="AD26" s="12" t="s">
        <v>67</v>
      </c>
      <c r="AE26" s="12" t="s">
        <v>67</v>
      </c>
      <c r="AF26" s="12" t="s">
        <v>67</v>
      </c>
      <c r="AG26" s="1" t="s">
        <v>90</v>
      </c>
      <c r="AH26" s="2" t="s">
        <v>63</v>
      </c>
      <c r="AI26" s="5" t="s">
        <v>129</v>
      </c>
      <c r="AJ26" s="13" t="s">
        <v>67</v>
      </c>
      <c r="AK26" s="13" t="s">
        <v>67</v>
      </c>
      <c r="AL26" s="14" t="s">
        <v>67</v>
      </c>
      <c r="AM26" s="14" t="s">
        <v>67</v>
      </c>
      <c r="AN26" s="14" t="s">
        <v>67</v>
      </c>
      <c r="AO26" s="14" t="s">
        <v>67</v>
      </c>
      <c r="AP26" s="14" t="s">
        <v>67</v>
      </c>
      <c r="AQ26" s="12"/>
      <c r="AR26" s="12" t="s">
        <v>67</v>
      </c>
      <c r="AS26" s="2" t="s">
        <v>130</v>
      </c>
      <c r="AT26" s="1" t="s">
        <v>131</v>
      </c>
      <c r="AU26" s="1" t="s">
        <v>132</v>
      </c>
      <c r="AV26" s="15" t="s">
        <v>133</v>
      </c>
      <c r="AW26" s="12" t="s">
        <v>67</v>
      </c>
      <c r="AX26" s="12" t="s">
        <v>67</v>
      </c>
      <c r="AY26" s="11" t="s">
        <v>152</v>
      </c>
      <c r="AZ26" s="1" t="s">
        <v>222</v>
      </c>
      <c r="BA26" s="1" t="s">
        <v>143</v>
      </c>
      <c r="BB26" s="1" t="s">
        <v>144</v>
      </c>
      <c r="BC26" s="16" t="s">
        <v>120</v>
      </c>
      <c r="BD26" s="2" t="s">
        <v>101</v>
      </c>
      <c r="BE26" s="12"/>
      <c r="BF26" s="12"/>
      <c r="BG26" s="9" t="s">
        <v>153</v>
      </c>
      <c r="BH26" s="9" t="s">
        <v>196</v>
      </c>
      <c r="BI26" s="18" t="s">
        <v>155</v>
      </c>
      <c r="BJ26" s="12"/>
      <c r="BK26" s="12"/>
      <c r="BL26" s="12"/>
    </row>
    <row r="27" spans="1:64" s="17" customFormat="1" ht="20.25" customHeight="1" x14ac:dyDescent="0.35">
      <c r="A27" s="1">
        <v>24</v>
      </c>
      <c r="B27" s="8" t="str">
        <f t="shared" si="0"/>
        <v>Oct_Release_FixedOrders_J8&amp;9_COT_E2E_TOM_0024</v>
      </c>
      <c r="C27" s="1" t="s">
        <v>67</v>
      </c>
      <c r="D27" s="1" t="s">
        <v>67</v>
      </c>
      <c r="E27" s="1" t="s">
        <v>67</v>
      </c>
      <c r="F27" s="1" t="s">
        <v>68</v>
      </c>
      <c r="G27" s="9" t="str">
        <f t="shared" si="1"/>
        <v>A valid SSO SSJ Journey for COT Across NW</v>
      </c>
      <c r="H27" s="10" t="s">
        <v>69</v>
      </c>
      <c r="I27" s="10" t="s">
        <v>70</v>
      </c>
      <c r="J27" s="9" t="s">
        <v>71</v>
      </c>
      <c r="K27" s="11" t="s">
        <v>72</v>
      </c>
      <c r="L27" s="1" t="s">
        <v>73</v>
      </c>
      <c r="M27" s="2" t="s">
        <v>63</v>
      </c>
      <c r="N27" s="2" t="s">
        <v>129</v>
      </c>
      <c r="O27" s="5" t="s">
        <v>130</v>
      </c>
      <c r="P27" s="1" t="s">
        <v>131</v>
      </c>
      <c r="Q27" s="1" t="s">
        <v>132</v>
      </c>
      <c r="R27" s="2" t="s">
        <v>133</v>
      </c>
      <c r="S27" s="12" t="s">
        <v>67</v>
      </c>
      <c r="T27" s="12" t="s">
        <v>91</v>
      </c>
      <c r="U27" s="1" t="s">
        <v>190</v>
      </c>
      <c r="V27" s="12" t="s">
        <v>91</v>
      </c>
      <c r="W27" s="12" t="s">
        <v>83</v>
      </c>
      <c r="X27" s="12"/>
      <c r="Y27" s="12"/>
      <c r="Z27" s="22" t="s">
        <v>205</v>
      </c>
      <c r="AA27" s="25" t="s">
        <v>291</v>
      </c>
      <c r="AB27" s="12"/>
      <c r="AC27" s="12"/>
      <c r="AD27" s="26"/>
      <c r="AE27" s="12"/>
      <c r="AF27" s="24" t="s">
        <v>292</v>
      </c>
      <c r="AG27" s="1" t="s">
        <v>90</v>
      </c>
      <c r="AH27" s="2" t="s">
        <v>91</v>
      </c>
      <c r="AI27" s="5" t="s">
        <v>190</v>
      </c>
      <c r="AJ27" s="13"/>
      <c r="AK27" s="13"/>
      <c r="AL27" s="14" t="s">
        <v>67</v>
      </c>
      <c r="AM27" s="14" t="s">
        <v>67</v>
      </c>
      <c r="AN27" s="14" t="s">
        <v>67</v>
      </c>
      <c r="AO27" s="14" t="s">
        <v>67</v>
      </c>
      <c r="AP27" s="14" t="s">
        <v>67</v>
      </c>
      <c r="AQ27" s="12"/>
      <c r="AR27" s="12"/>
      <c r="AS27" s="2" t="s">
        <v>118</v>
      </c>
      <c r="AT27" s="2" t="s">
        <v>207</v>
      </c>
      <c r="AU27" s="2" t="s">
        <v>202</v>
      </c>
      <c r="AV27" s="15" t="s">
        <v>79</v>
      </c>
      <c r="AW27" s="12" t="s">
        <v>67</v>
      </c>
      <c r="AX27" s="12" t="s">
        <v>67</v>
      </c>
      <c r="AY27" s="11" t="s">
        <v>67</v>
      </c>
      <c r="AZ27" s="1" t="s">
        <v>67</v>
      </c>
      <c r="BA27" s="1" t="s">
        <v>67</v>
      </c>
      <c r="BB27" s="1" t="s">
        <v>186</v>
      </c>
      <c r="BC27" s="16" t="s">
        <v>120</v>
      </c>
      <c r="BD27" s="2" t="s">
        <v>101</v>
      </c>
      <c r="BE27" s="12"/>
      <c r="BF27" s="12"/>
      <c r="BG27" s="1" t="s">
        <v>67</v>
      </c>
      <c r="BH27" s="1" t="s">
        <v>67</v>
      </c>
      <c r="BI27" s="8" t="s">
        <v>67</v>
      </c>
      <c r="BJ27" s="12"/>
      <c r="BK27" s="12"/>
      <c r="BL27" s="12"/>
    </row>
    <row r="28" spans="1:64" s="17" customFormat="1" ht="20.25" customHeight="1" x14ac:dyDescent="0.35">
      <c r="A28" s="1">
        <v>25</v>
      </c>
      <c r="B28" s="8" t="str">
        <f t="shared" si="0"/>
        <v>Oct_Release_FixedOrders_J8&amp;9_COT_E2E_TOM_0025</v>
      </c>
      <c r="C28" s="1" t="s">
        <v>67</v>
      </c>
      <c r="D28" s="1" t="s">
        <v>67</v>
      </c>
      <c r="E28" s="1" t="s">
        <v>67</v>
      </c>
      <c r="F28" s="1" t="s">
        <v>68</v>
      </c>
      <c r="G28" s="9" t="str">
        <f t="shared" si="1"/>
        <v>A valid SSO SSJ Journey for COT Across NW</v>
      </c>
      <c r="H28" s="10" t="s">
        <v>69</v>
      </c>
      <c r="I28" s="10" t="s">
        <v>70</v>
      </c>
      <c r="J28" s="9" t="s">
        <v>128</v>
      </c>
      <c r="K28" s="11" t="s">
        <v>72</v>
      </c>
      <c r="L28" s="1" t="s">
        <v>73</v>
      </c>
      <c r="M28" s="2" t="s">
        <v>63</v>
      </c>
      <c r="N28" s="2" t="s">
        <v>129</v>
      </c>
      <c r="O28" s="5" t="s">
        <v>130</v>
      </c>
      <c r="P28" s="1" t="s">
        <v>131</v>
      </c>
      <c r="Q28" s="1" t="s">
        <v>132</v>
      </c>
      <c r="R28" s="2" t="s">
        <v>133</v>
      </c>
      <c r="S28" s="12" t="s">
        <v>67</v>
      </c>
      <c r="T28" s="12" t="s">
        <v>134</v>
      </c>
      <c r="U28" s="1" t="s">
        <v>81</v>
      </c>
      <c r="V28" s="12" t="s">
        <v>82</v>
      </c>
      <c r="W28" s="12" t="s">
        <v>135</v>
      </c>
      <c r="X28" s="12"/>
      <c r="Y28" s="12"/>
      <c r="Z28" s="20" t="s">
        <v>112</v>
      </c>
      <c r="AA28" s="21" t="s">
        <v>67</v>
      </c>
      <c r="AB28" s="20" t="s">
        <v>136</v>
      </c>
      <c r="AC28" s="20" t="s">
        <v>87</v>
      </c>
      <c r="AD28" s="20" t="s">
        <v>137</v>
      </c>
      <c r="AE28" s="20" t="s">
        <v>138</v>
      </c>
      <c r="AF28" s="20" t="s">
        <v>89</v>
      </c>
      <c r="AG28" s="11" t="s">
        <v>90</v>
      </c>
      <c r="AH28" s="2" t="s">
        <v>91</v>
      </c>
      <c r="AI28" s="5" t="s">
        <v>81</v>
      </c>
      <c r="AJ28" s="13"/>
      <c r="AK28" s="13"/>
      <c r="AL28" s="14" t="s">
        <v>67</v>
      </c>
      <c r="AM28" s="14" t="s">
        <v>139</v>
      </c>
      <c r="AN28" s="14" t="s">
        <v>140</v>
      </c>
      <c r="AO28" s="14">
        <v>2200</v>
      </c>
      <c r="AP28" s="14" t="s">
        <v>106</v>
      </c>
      <c r="AQ28" s="12"/>
      <c r="AR28" s="12"/>
      <c r="AS28" s="2" t="s">
        <v>141</v>
      </c>
      <c r="AT28" s="2" t="s">
        <v>98</v>
      </c>
      <c r="AU28" s="2" t="s">
        <v>99</v>
      </c>
      <c r="AV28" s="15" t="s">
        <v>123</v>
      </c>
      <c r="AW28" s="12" t="s">
        <v>142</v>
      </c>
      <c r="AX28" s="12" t="s">
        <v>67</v>
      </c>
      <c r="AY28" s="11" t="s">
        <v>127</v>
      </c>
      <c r="AZ28" s="1" t="s">
        <v>70</v>
      </c>
      <c r="BA28" s="1" t="s">
        <v>143</v>
      </c>
      <c r="BB28" s="1" t="s">
        <v>144</v>
      </c>
      <c r="BC28" s="16" t="s">
        <v>100</v>
      </c>
      <c r="BD28" s="2" t="s">
        <v>101</v>
      </c>
      <c r="BE28" s="12"/>
      <c r="BF28" s="12"/>
      <c r="BG28" s="1" t="s">
        <v>67</v>
      </c>
      <c r="BH28" s="1" t="s">
        <v>67</v>
      </c>
      <c r="BI28" s="8" t="s">
        <v>67</v>
      </c>
      <c r="BJ28" s="12"/>
      <c r="BK28" s="12"/>
      <c r="BL28" s="12"/>
    </row>
    <row r="29" spans="1:64" s="17" customFormat="1" ht="20.25" customHeight="1" x14ac:dyDescent="0.35">
      <c r="A29" s="1">
        <v>26</v>
      </c>
      <c r="B29" s="8" t="str">
        <f t="shared" si="0"/>
        <v>Oct_Release_FixedOrders_J8&amp;9_COT_E2E_TOM_0026</v>
      </c>
      <c r="C29" s="1" t="s">
        <v>67</v>
      </c>
      <c r="D29" s="1" t="s">
        <v>67</v>
      </c>
      <c r="E29" s="1" t="s">
        <v>67</v>
      </c>
      <c r="F29" s="1" t="s">
        <v>68</v>
      </c>
      <c r="G29" s="9" t="str">
        <f t="shared" si="1"/>
        <v>A valid SSO SSJ Journey for COT Across NW</v>
      </c>
      <c r="H29" s="10" t="s">
        <v>70</v>
      </c>
      <c r="I29" s="10" t="s">
        <v>69</v>
      </c>
      <c r="J29" s="9" t="s">
        <v>71</v>
      </c>
      <c r="K29" s="11" t="s">
        <v>72</v>
      </c>
      <c r="L29" s="1" t="s">
        <v>73</v>
      </c>
      <c r="M29" s="2" t="s">
        <v>63</v>
      </c>
      <c r="N29" s="2" t="s">
        <v>129</v>
      </c>
      <c r="O29" s="5" t="s">
        <v>130</v>
      </c>
      <c r="P29" s="1" t="s">
        <v>131</v>
      </c>
      <c r="Q29" s="1" t="s">
        <v>132</v>
      </c>
      <c r="R29" s="2" t="s">
        <v>133</v>
      </c>
      <c r="S29" s="12" t="s">
        <v>67</v>
      </c>
      <c r="T29" s="12" t="s">
        <v>74</v>
      </c>
      <c r="U29" s="1" t="s">
        <v>236</v>
      </c>
      <c r="V29" s="12" t="s">
        <v>74</v>
      </c>
      <c r="W29" s="12" t="s">
        <v>83</v>
      </c>
      <c r="X29" s="12" t="s">
        <v>67</v>
      </c>
      <c r="Y29" s="12" t="s">
        <v>67</v>
      </c>
      <c r="Z29" s="12" t="s">
        <v>67</v>
      </c>
      <c r="AA29" s="12" t="s">
        <v>67</v>
      </c>
      <c r="AB29" s="12" t="s">
        <v>67</v>
      </c>
      <c r="AC29" s="12" t="s">
        <v>67</v>
      </c>
      <c r="AD29" s="12" t="s">
        <v>67</v>
      </c>
      <c r="AE29" s="27" t="s">
        <v>67</v>
      </c>
      <c r="AF29" s="27" t="s">
        <v>67</v>
      </c>
      <c r="AG29" s="1" t="s">
        <v>90</v>
      </c>
      <c r="AH29" s="2" t="s">
        <v>74</v>
      </c>
      <c r="AI29" s="5" t="s">
        <v>236</v>
      </c>
      <c r="AJ29" s="13" t="s">
        <v>69</v>
      </c>
      <c r="AK29" s="13" t="s">
        <v>189</v>
      </c>
      <c r="AL29" s="14" t="s">
        <v>67</v>
      </c>
      <c r="AM29" s="14" t="s">
        <v>67</v>
      </c>
      <c r="AN29" s="14" t="s">
        <v>67</v>
      </c>
      <c r="AO29" s="14" t="s">
        <v>67</v>
      </c>
      <c r="AP29" s="14" t="s">
        <v>67</v>
      </c>
      <c r="AQ29" s="13" t="s">
        <v>237</v>
      </c>
      <c r="AR29" s="12" t="s">
        <v>67</v>
      </c>
      <c r="AS29" s="2" t="s">
        <v>76</v>
      </c>
      <c r="AT29" s="2" t="s">
        <v>254</v>
      </c>
      <c r="AU29" s="19" t="s">
        <v>255</v>
      </c>
      <c r="AV29" s="15" t="s">
        <v>133</v>
      </c>
      <c r="AW29" s="12" t="s">
        <v>67</v>
      </c>
      <c r="AX29" s="12" t="s">
        <v>67</v>
      </c>
      <c r="AY29" s="11" t="s">
        <v>127</v>
      </c>
      <c r="AZ29" s="1" t="s">
        <v>222</v>
      </c>
      <c r="BA29" s="1" t="s">
        <v>143</v>
      </c>
      <c r="BB29" s="1" t="s">
        <v>144</v>
      </c>
      <c r="BC29" s="16" t="s">
        <v>100</v>
      </c>
      <c r="BD29" s="2" t="s">
        <v>101</v>
      </c>
      <c r="BE29" s="12"/>
      <c r="BF29" s="12"/>
      <c r="BG29" s="1" t="s">
        <v>67</v>
      </c>
      <c r="BH29" s="1" t="s">
        <v>67</v>
      </c>
      <c r="BI29" s="8" t="s">
        <v>67</v>
      </c>
      <c r="BJ29" s="12"/>
      <c r="BK29" s="12"/>
      <c r="BL29" s="12"/>
    </row>
    <row r="30" spans="1:64" s="17" customFormat="1" ht="20.25" customHeight="1" x14ac:dyDescent="0.35">
      <c r="A30" s="1">
        <v>27</v>
      </c>
      <c r="B30" s="8" t="str">
        <f t="shared" si="0"/>
        <v>Oct_Release_FixedOrders_J8&amp;9_COT_E2E_TOM_0027</v>
      </c>
      <c r="C30" s="1" t="s">
        <v>67</v>
      </c>
      <c r="D30" s="1" t="s">
        <v>67</v>
      </c>
      <c r="E30" s="1" t="s">
        <v>67</v>
      </c>
      <c r="F30" s="1" t="s">
        <v>68</v>
      </c>
      <c r="G30" s="9" t="str">
        <f t="shared" si="1"/>
        <v>A valid SSO SSJ Journey for COT Across NW</v>
      </c>
      <c r="H30" s="10" t="s">
        <v>69</v>
      </c>
      <c r="I30" s="10" t="s">
        <v>70</v>
      </c>
      <c r="J30" s="9" t="s">
        <v>71</v>
      </c>
      <c r="K30" s="11" t="s">
        <v>72</v>
      </c>
      <c r="L30" s="1" t="s">
        <v>73</v>
      </c>
      <c r="M30" s="2" t="s">
        <v>63</v>
      </c>
      <c r="N30" s="2" t="s">
        <v>129</v>
      </c>
      <c r="O30" s="5" t="s">
        <v>130</v>
      </c>
      <c r="P30" s="1" t="s">
        <v>131</v>
      </c>
      <c r="Q30" s="1" t="s">
        <v>132</v>
      </c>
      <c r="R30" s="2" t="s">
        <v>133</v>
      </c>
      <c r="S30" s="12" t="s">
        <v>67</v>
      </c>
      <c r="T30" s="12" t="s">
        <v>260</v>
      </c>
      <c r="U30" s="9" t="s">
        <v>253</v>
      </c>
      <c r="V30" s="12" t="s">
        <v>91</v>
      </c>
      <c r="W30" s="12" t="s">
        <v>241</v>
      </c>
      <c r="X30" s="12" t="s">
        <v>67</v>
      </c>
      <c r="Y30" s="12" t="s">
        <v>67</v>
      </c>
      <c r="Z30" s="12" t="s">
        <v>67</v>
      </c>
      <c r="AA30" s="12" t="s">
        <v>67</v>
      </c>
      <c r="AB30" s="12" t="s">
        <v>67</v>
      </c>
      <c r="AC30" s="12" t="s">
        <v>67</v>
      </c>
      <c r="AD30" s="12" t="s">
        <v>67</v>
      </c>
      <c r="AE30" s="28" t="s">
        <v>67</v>
      </c>
      <c r="AF30" s="28" t="s">
        <v>67</v>
      </c>
      <c r="AG30" s="1" t="s">
        <v>90</v>
      </c>
      <c r="AH30" s="2" t="s">
        <v>74</v>
      </c>
      <c r="AI30" s="16" t="s">
        <v>253</v>
      </c>
      <c r="AJ30" s="13" t="s">
        <v>69</v>
      </c>
      <c r="AK30" s="13" t="s">
        <v>189</v>
      </c>
      <c r="AL30" s="14" t="s">
        <v>67</v>
      </c>
      <c r="AM30" s="14" t="s">
        <v>67</v>
      </c>
      <c r="AN30" s="14" t="s">
        <v>67</v>
      </c>
      <c r="AO30" s="14" t="s">
        <v>67</v>
      </c>
      <c r="AP30" s="14" t="s">
        <v>67</v>
      </c>
      <c r="AQ30" s="13" t="s">
        <v>237</v>
      </c>
      <c r="AR30" s="12" t="s">
        <v>67</v>
      </c>
      <c r="AS30" s="2" t="s">
        <v>76</v>
      </c>
      <c r="AT30" s="2" t="s">
        <v>261</v>
      </c>
      <c r="AU30" s="2" t="s">
        <v>202</v>
      </c>
      <c r="AV30" s="15" t="s">
        <v>79</v>
      </c>
      <c r="AW30" s="12" t="s">
        <v>67</v>
      </c>
      <c r="AX30" s="12" t="s">
        <v>67</v>
      </c>
      <c r="AY30" s="11" t="s">
        <v>67</v>
      </c>
      <c r="AZ30" s="1"/>
      <c r="BA30" s="1" t="s">
        <v>67</v>
      </c>
      <c r="BB30" s="1" t="s">
        <v>186</v>
      </c>
      <c r="BC30" s="16" t="s">
        <v>120</v>
      </c>
      <c r="BD30" s="2" t="s">
        <v>101</v>
      </c>
      <c r="BE30" s="12"/>
      <c r="BF30" s="12"/>
      <c r="BG30" s="1" t="s">
        <v>67</v>
      </c>
      <c r="BH30" s="1" t="s">
        <v>67</v>
      </c>
      <c r="BI30" s="8" t="s">
        <v>67</v>
      </c>
      <c r="BJ30" s="12"/>
      <c r="BK30" s="12"/>
      <c r="BL30" s="12"/>
    </row>
    <row r="31" spans="1:64" s="17" customFormat="1" ht="20.25" customHeight="1" x14ac:dyDescent="0.35">
      <c r="A31" s="1">
        <v>28</v>
      </c>
      <c r="B31" s="8" t="str">
        <f t="shared" si="0"/>
        <v>Oct_Release_FixedOrders_J8&amp;9_COT_E2E_TOM_0028</v>
      </c>
      <c r="C31" s="1" t="s">
        <v>67</v>
      </c>
      <c r="D31" s="1" t="s">
        <v>67</v>
      </c>
      <c r="E31" s="1" t="s">
        <v>67</v>
      </c>
      <c r="F31" s="1" t="s">
        <v>68</v>
      </c>
      <c r="G31" s="9" t="str">
        <f t="shared" si="1"/>
        <v>A valid SSO SSJ Journey for COT Across NW</v>
      </c>
      <c r="H31" s="10" t="s">
        <v>69</v>
      </c>
      <c r="I31" s="10" t="s">
        <v>70</v>
      </c>
      <c r="J31" s="9" t="s">
        <v>71</v>
      </c>
      <c r="K31" s="11" t="s">
        <v>72</v>
      </c>
      <c r="L31" s="1" t="s">
        <v>73</v>
      </c>
      <c r="M31" s="2" t="s">
        <v>63</v>
      </c>
      <c r="N31" s="2" t="s">
        <v>129</v>
      </c>
      <c r="O31" s="5" t="s">
        <v>130</v>
      </c>
      <c r="P31" s="1" t="s">
        <v>131</v>
      </c>
      <c r="Q31" s="1" t="s">
        <v>132</v>
      </c>
      <c r="R31" s="2" t="s">
        <v>133</v>
      </c>
      <c r="S31" s="12" t="s">
        <v>67</v>
      </c>
      <c r="T31" s="12" t="s">
        <v>82</v>
      </c>
      <c r="U31" s="1" t="s">
        <v>81</v>
      </c>
      <c r="V31" s="12" t="s">
        <v>82</v>
      </c>
      <c r="W31" s="12" t="s">
        <v>83</v>
      </c>
      <c r="X31" s="12" t="s">
        <v>209</v>
      </c>
      <c r="Y31" s="12" t="s">
        <v>69</v>
      </c>
      <c r="Z31" s="12" t="s">
        <v>275</v>
      </c>
      <c r="AA31" s="12" t="s">
        <v>67</v>
      </c>
      <c r="AB31" s="12" t="s">
        <v>276</v>
      </c>
      <c r="AC31" s="12" t="s">
        <v>87</v>
      </c>
      <c r="AD31" s="12" t="s">
        <v>67</v>
      </c>
      <c r="AE31" s="28" t="s">
        <v>67</v>
      </c>
      <c r="AF31" s="28" t="s">
        <v>89</v>
      </c>
      <c r="AG31" s="29" t="s">
        <v>90</v>
      </c>
      <c r="AH31" s="2" t="s">
        <v>82</v>
      </c>
      <c r="AI31" s="5" t="s">
        <v>81</v>
      </c>
      <c r="AJ31" s="13" t="s">
        <v>67</v>
      </c>
      <c r="AK31" s="13" t="s">
        <v>92</v>
      </c>
      <c r="AL31" s="14" t="s">
        <v>67</v>
      </c>
      <c r="AM31" s="14" t="s">
        <v>67</v>
      </c>
      <c r="AN31" s="14" t="s">
        <v>67</v>
      </c>
      <c r="AO31" s="14" t="s">
        <v>67</v>
      </c>
      <c r="AP31" s="14" t="s">
        <v>67</v>
      </c>
      <c r="AQ31" s="13" t="s">
        <v>277</v>
      </c>
      <c r="AR31" s="12" t="s">
        <v>67</v>
      </c>
      <c r="AS31" s="2" t="s">
        <v>257</v>
      </c>
      <c r="AT31" s="2" t="s">
        <v>258</v>
      </c>
      <c r="AU31" s="2" t="s">
        <v>108</v>
      </c>
      <c r="AV31" s="15" t="s">
        <v>123</v>
      </c>
      <c r="AW31" s="12" t="s">
        <v>67</v>
      </c>
      <c r="AX31" s="12" t="s">
        <v>67</v>
      </c>
      <c r="AY31" s="11" t="s">
        <v>127</v>
      </c>
      <c r="AZ31" s="1" t="s">
        <v>70</v>
      </c>
      <c r="BA31" s="1" t="s">
        <v>143</v>
      </c>
      <c r="BB31" s="1" t="s">
        <v>144</v>
      </c>
      <c r="BC31" s="16" t="s">
        <v>120</v>
      </c>
      <c r="BD31" s="2" t="s">
        <v>101</v>
      </c>
      <c r="BE31" s="12"/>
      <c r="BF31" s="12"/>
      <c r="BG31" s="1" t="s">
        <v>67</v>
      </c>
      <c r="BH31" s="1" t="s">
        <v>67</v>
      </c>
      <c r="BI31" s="8" t="s">
        <v>67</v>
      </c>
      <c r="BJ31" s="12"/>
      <c r="BK31" s="12"/>
      <c r="BL31" s="12"/>
    </row>
    <row r="32" spans="1:64" s="17" customFormat="1" ht="20.25" customHeight="1" x14ac:dyDescent="0.35">
      <c r="A32" s="1">
        <v>29</v>
      </c>
      <c r="B32" s="8" t="str">
        <f t="shared" si="0"/>
        <v>Oct_Release_FixedOrders_J8&amp;9_COT_E2E_TOM_0029</v>
      </c>
      <c r="C32" s="1" t="s">
        <v>67</v>
      </c>
      <c r="D32" s="1" t="s">
        <v>67</v>
      </c>
      <c r="E32" s="1" t="s">
        <v>67</v>
      </c>
      <c r="F32" s="1" t="s">
        <v>68</v>
      </c>
      <c r="G32" s="9" t="str">
        <f t="shared" si="1"/>
        <v>A valid SSO SSJ Journey for COT Across NW</v>
      </c>
      <c r="H32" s="10" t="s">
        <v>70</v>
      </c>
      <c r="I32" s="10" t="s">
        <v>69</v>
      </c>
      <c r="J32" s="9" t="s">
        <v>128</v>
      </c>
      <c r="K32" s="11" t="s">
        <v>72</v>
      </c>
      <c r="L32" s="1" t="s">
        <v>73</v>
      </c>
      <c r="M32" s="2" t="s">
        <v>63</v>
      </c>
      <c r="N32" s="2" t="s">
        <v>156</v>
      </c>
      <c r="O32" s="5" t="s">
        <v>157</v>
      </c>
      <c r="P32" s="1" t="s">
        <v>158</v>
      </c>
      <c r="Q32" s="1" t="s">
        <v>159</v>
      </c>
      <c r="R32" s="2" t="s">
        <v>123</v>
      </c>
      <c r="S32" s="12" t="s">
        <v>67</v>
      </c>
      <c r="T32" s="12" t="s">
        <v>91</v>
      </c>
      <c r="U32" s="1" t="s">
        <v>148</v>
      </c>
      <c r="V32" s="12" t="s">
        <v>91</v>
      </c>
      <c r="W32" s="12" t="s">
        <v>83</v>
      </c>
      <c r="X32" s="12"/>
      <c r="Y32" s="12"/>
      <c r="Z32" s="12"/>
      <c r="AA32" s="12"/>
      <c r="AB32" s="12"/>
      <c r="AC32" s="12"/>
      <c r="AD32" s="26"/>
      <c r="AE32" s="30"/>
      <c r="AF32" s="30"/>
      <c r="AG32" s="29" t="s">
        <v>90</v>
      </c>
      <c r="AH32" s="2" t="s">
        <v>91</v>
      </c>
      <c r="AI32" s="5" t="s">
        <v>148</v>
      </c>
      <c r="AJ32" s="13"/>
      <c r="AK32" s="13"/>
      <c r="AL32" s="14" t="s">
        <v>67</v>
      </c>
      <c r="AM32" s="14" t="s">
        <v>67</v>
      </c>
      <c r="AN32" s="14" t="s">
        <v>67</v>
      </c>
      <c r="AO32" s="14" t="s">
        <v>67</v>
      </c>
      <c r="AP32" s="14" t="s">
        <v>67</v>
      </c>
      <c r="AQ32" s="13"/>
      <c r="AR32" s="12"/>
      <c r="AS32" s="2" t="s">
        <v>141</v>
      </c>
      <c r="AT32" s="2" t="s">
        <v>163</v>
      </c>
      <c r="AU32" s="2" t="s">
        <v>92</v>
      </c>
      <c r="AV32" s="15" t="s">
        <v>123</v>
      </c>
      <c r="AW32" s="12" t="s">
        <v>164</v>
      </c>
      <c r="AX32" s="12" t="s">
        <v>67</v>
      </c>
      <c r="AY32" s="11" t="s">
        <v>152</v>
      </c>
      <c r="AZ32" s="1" t="s">
        <v>70</v>
      </c>
      <c r="BA32" s="1" t="s">
        <v>143</v>
      </c>
      <c r="BB32" s="1" t="s">
        <v>144</v>
      </c>
      <c r="BC32" s="16" t="s">
        <v>120</v>
      </c>
      <c r="BD32" s="2" t="s">
        <v>101</v>
      </c>
      <c r="BE32" s="12"/>
      <c r="BF32" s="12"/>
      <c r="BG32" s="9" t="s">
        <v>153</v>
      </c>
      <c r="BH32" s="9" t="s">
        <v>154</v>
      </c>
      <c r="BI32" s="18" t="s">
        <v>155</v>
      </c>
      <c r="BJ32" s="12"/>
      <c r="BK32" s="12"/>
      <c r="BL32" s="12"/>
    </row>
    <row r="33" spans="1:64" s="17" customFormat="1" ht="20.25" customHeight="1" x14ac:dyDescent="0.35">
      <c r="A33" s="1">
        <v>30</v>
      </c>
      <c r="B33" s="8" t="str">
        <f t="shared" si="0"/>
        <v>Oct_Release_FixedOrders_J8&amp;9_COT_E2E_TOM_0030</v>
      </c>
      <c r="C33" s="1" t="s">
        <v>67</v>
      </c>
      <c r="D33" s="1" t="s">
        <v>67</v>
      </c>
      <c r="E33" s="1" t="s">
        <v>67</v>
      </c>
      <c r="F33" s="1" t="s">
        <v>68</v>
      </c>
      <c r="G33" s="9" t="str">
        <f t="shared" si="1"/>
        <v>A valid SSO SSJ Journey for COT Across NW</v>
      </c>
      <c r="H33" s="10" t="s">
        <v>69</v>
      </c>
      <c r="I33" s="10" t="s">
        <v>70</v>
      </c>
      <c r="J33" s="9" t="s">
        <v>71</v>
      </c>
      <c r="K33" s="11" t="s">
        <v>72</v>
      </c>
      <c r="L33" s="1" t="s">
        <v>73</v>
      </c>
      <c r="M33" s="2" t="s">
        <v>63</v>
      </c>
      <c r="N33" s="2" t="s">
        <v>156</v>
      </c>
      <c r="O33" s="5" t="s">
        <v>157</v>
      </c>
      <c r="P33" s="1" t="s">
        <v>177</v>
      </c>
      <c r="Q33" s="1" t="s">
        <v>178</v>
      </c>
      <c r="R33" s="2" t="s">
        <v>123</v>
      </c>
      <c r="S33" s="12" t="s">
        <v>67</v>
      </c>
      <c r="T33" s="12" t="s">
        <v>91</v>
      </c>
      <c r="U33" s="1" t="s">
        <v>165</v>
      </c>
      <c r="V33" s="12" t="s">
        <v>91</v>
      </c>
      <c r="W33" s="12" t="s">
        <v>83</v>
      </c>
      <c r="X33" s="12"/>
      <c r="Y33" s="12"/>
      <c r="Z33" s="12"/>
      <c r="AA33" s="12"/>
      <c r="AB33" s="12"/>
      <c r="AC33" s="12"/>
      <c r="AD33" s="26"/>
      <c r="AE33" s="30"/>
      <c r="AF33" s="30"/>
      <c r="AG33" s="29" t="s">
        <v>90</v>
      </c>
      <c r="AH33" s="2" t="s">
        <v>91</v>
      </c>
      <c r="AI33" s="5" t="s">
        <v>165</v>
      </c>
      <c r="AJ33" s="13"/>
      <c r="AK33" s="13"/>
      <c r="AL33" s="14" t="s">
        <v>67</v>
      </c>
      <c r="AM33" s="14" t="s">
        <v>67</v>
      </c>
      <c r="AN33" s="14" t="s">
        <v>67</v>
      </c>
      <c r="AO33" s="14" t="s">
        <v>67</v>
      </c>
      <c r="AP33" s="14" t="s">
        <v>67</v>
      </c>
      <c r="AQ33" s="13"/>
      <c r="AR33" s="12"/>
      <c r="AS33" s="2" t="s">
        <v>118</v>
      </c>
      <c r="AT33" s="2" t="s">
        <v>293</v>
      </c>
      <c r="AU33" s="2" t="s">
        <v>122</v>
      </c>
      <c r="AV33" s="15" t="s">
        <v>79</v>
      </c>
      <c r="AW33" s="12" t="s">
        <v>67</v>
      </c>
      <c r="AX33" s="12" t="s">
        <v>67</v>
      </c>
      <c r="AY33" s="11" t="s">
        <v>67</v>
      </c>
      <c r="AZ33" s="1" t="s">
        <v>67</v>
      </c>
      <c r="BA33" s="1" t="s">
        <v>67</v>
      </c>
      <c r="BB33" s="1" t="s">
        <v>186</v>
      </c>
      <c r="BC33" s="16" t="s">
        <v>100</v>
      </c>
      <c r="BD33" s="2" t="s">
        <v>101</v>
      </c>
      <c r="BE33" s="12"/>
      <c r="BF33" s="12"/>
      <c r="BG33" s="1" t="s">
        <v>67</v>
      </c>
      <c r="BH33" s="1" t="s">
        <v>67</v>
      </c>
      <c r="BI33" s="8" t="s">
        <v>67</v>
      </c>
      <c r="BJ33" s="12"/>
      <c r="BK33" s="12"/>
      <c r="BL33" s="12"/>
    </row>
    <row r="34" spans="1:64" s="17" customFormat="1" ht="20.25" customHeight="1" x14ac:dyDescent="0.35">
      <c r="A34" s="1">
        <v>31</v>
      </c>
      <c r="B34" s="8" t="str">
        <f t="shared" si="0"/>
        <v>Oct_Release_FixedOrders_J8&amp;9_COT_E2E_TOM_0031</v>
      </c>
      <c r="C34" s="1" t="s">
        <v>67</v>
      </c>
      <c r="D34" s="1" t="s">
        <v>67</v>
      </c>
      <c r="E34" s="1" t="s">
        <v>67</v>
      </c>
      <c r="F34" s="1" t="s">
        <v>68</v>
      </c>
      <c r="G34" s="9" t="str">
        <f t="shared" si="1"/>
        <v>A valid SSO SSJ Journey for COT Across NW</v>
      </c>
      <c r="H34" s="10" t="s">
        <v>70</v>
      </c>
      <c r="I34" s="10" t="s">
        <v>69</v>
      </c>
      <c r="J34" s="9" t="s">
        <v>128</v>
      </c>
      <c r="K34" s="11" t="s">
        <v>72</v>
      </c>
      <c r="L34" s="1" t="s">
        <v>73</v>
      </c>
      <c r="M34" s="2" t="s">
        <v>63</v>
      </c>
      <c r="N34" s="2" t="s">
        <v>156</v>
      </c>
      <c r="O34" s="5" t="s">
        <v>157</v>
      </c>
      <c r="P34" s="1" t="s">
        <v>226</v>
      </c>
      <c r="Q34" s="1" t="s">
        <v>227</v>
      </c>
      <c r="R34" s="2" t="s">
        <v>123</v>
      </c>
      <c r="S34" s="12" t="s">
        <v>67</v>
      </c>
      <c r="T34" s="12" t="s">
        <v>260</v>
      </c>
      <c r="U34" s="1" t="s">
        <v>75</v>
      </c>
      <c r="V34" s="12" t="s">
        <v>91</v>
      </c>
      <c r="W34" s="12" t="s">
        <v>241</v>
      </c>
      <c r="X34" s="12" t="s">
        <v>67</v>
      </c>
      <c r="Y34" s="12" t="s">
        <v>67</v>
      </c>
      <c r="Z34" s="12" t="s">
        <v>67</v>
      </c>
      <c r="AA34" s="12" t="s">
        <v>67</v>
      </c>
      <c r="AB34" s="12" t="s">
        <v>67</v>
      </c>
      <c r="AC34" s="12" t="s">
        <v>67</v>
      </c>
      <c r="AD34" s="12" t="s">
        <v>67</v>
      </c>
      <c r="AE34" s="31" t="s">
        <v>67</v>
      </c>
      <c r="AF34" s="27" t="s">
        <v>67</v>
      </c>
      <c r="AG34" s="12" t="s">
        <v>90</v>
      </c>
      <c r="AH34" s="2" t="s">
        <v>74</v>
      </c>
      <c r="AI34" s="5" t="s">
        <v>208</v>
      </c>
      <c r="AJ34" s="13" t="s">
        <v>69</v>
      </c>
      <c r="AK34" s="13" t="s">
        <v>78</v>
      </c>
      <c r="AL34" s="14" t="s">
        <v>67</v>
      </c>
      <c r="AM34" s="14" t="s">
        <v>67</v>
      </c>
      <c r="AN34" s="14" t="s">
        <v>67</v>
      </c>
      <c r="AO34" s="14" t="s">
        <v>67</v>
      </c>
      <c r="AP34" s="14" t="s">
        <v>67</v>
      </c>
      <c r="AQ34" s="13" t="s">
        <v>262</v>
      </c>
      <c r="AR34" s="12" t="s">
        <v>67</v>
      </c>
      <c r="AS34" s="2" t="s">
        <v>263</v>
      </c>
      <c r="AT34" s="2" t="s">
        <v>264</v>
      </c>
      <c r="AU34" s="2" t="s">
        <v>239</v>
      </c>
      <c r="AV34" s="15" t="s">
        <v>133</v>
      </c>
      <c r="AW34" s="12" t="s">
        <v>67</v>
      </c>
      <c r="AX34" s="12" t="s">
        <v>67</v>
      </c>
      <c r="AY34" s="11" t="s">
        <v>127</v>
      </c>
      <c r="AZ34" s="1" t="s">
        <v>222</v>
      </c>
      <c r="BA34" s="1" t="s">
        <v>143</v>
      </c>
      <c r="BB34" s="1" t="s">
        <v>144</v>
      </c>
      <c r="BC34" s="16" t="s">
        <v>120</v>
      </c>
      <c r="BD34" s="2" t="s">
        <v>101</v>
      </c>
      <c r="BE34" s="12"/>
      <c r="BF34" s="12"/>
      <c r="BG34" s="1" t="s">
        <v>67</v>
      </c>
      <c r="BH34" s="1" t="s">
        <v>67</v>
      </c>
      <c r="BI34" s="8" t="s">
        <v>67</v>
      </c>
      <c r="BJ34" s="12"/>
      <c r="BK34" s="12"/>
      <c r="BL34" s="12"/>
    </row>
    <row r="35" spans="1:64" s="17" customFormat="1" ht="20.25" customHeight="1" x14ac:dyDescent="0.35">
      <c r="A35" s="1">
        <v>32</v>
      </c>
      <c r="B35" s="8" t="str">
        <f t="shared" si="0"/>
        <v>Oct_Release_FixedOrders_J8&amp;9_COT_E2E_TOM_0032</v>
      </c>
      <c r="C35" s="1" t="s">
        <v>67</v>
      </c>
      <c r="D35" s="1" t="s">
        <v>67</v>
      </c>
      <c r="E35" s="1" t="s">
        <v>67</v>
      </c>
      <c r="F35" s="1" t="s">
        <v>68</v>
      </c>
      <c r="G35" s="9" t="str">
        <f t="shared" si="1"/>
        <v>A valid SSO SSJ Journey for COT Across NW</v>
      </c>
      <c r="H35" s="10" t="s">
        <v>69</v>
      </c>
      <c r="I35" s="10" t="s">
        <v>70</v>
      </c>
      <c r="J35" s="9" t="s">
        <v>71</v>
      </c>
      <c r="K35" s="11" t="s">
        <v>72</v>
      </c>
      <c r="L35" s="1" t="s">
        <v>73</v>
      </c>
      <c r="M35" s="2" t="s">
        <v>63</v>
      </c>
      <c r="N35" s="2" t="s">
        <v>156</v>
      </c>
      <c r="O35" s="5" t="s">
        <v>157</v>
      </c>
      <c r="P35" s="1" t="s">
        <v>158</v>
      </c>
      <c r="Q35" s="1" t="s">
        <v>159</v>
      </c>
      <c r="R35" s="2" t="s">
        <v>123</v>
      </c>
      <c r="S35" s="12" t="s">
        <v>67</v>
      </c>
      <c r="T35" s="12" t="s">
        <v>74</v>
      </c>
      <c r="U35" s="1" t="s">
        <v>265</v>
      </c>
      <c r="V35" s="12" t="s">
        <v>74</v>
      </c>
      <c r="W35" s="12" t="s">
        <v>83</v>
      </c>
      <c r="X35" s="12" t="s">
        <v>67</v>
      </c>
      <c r="Y35" s="12" t="s">
        <v>67</v>
      </c>
      <c r="Z35" s="12" t="s">
        <v>67</v>
      </c>
      <c r="AA35" s="12" t="s">
        <v>67</v>
      </c>
      <c r="AB35" s="12" t="s">
        <v>67</v>
      </c>
      <c r="AC35" s="12" t="s">
        <v>67</v>
      </c>
      <c r="AD35" s="26" t="s">
        <v>67</v>
      </c>
      <c r="AE35" s="30" t="s">
        <v>67</v>
      </c>
      <c r="AF35" s="29" t="s">
        <v>67</v>
      </c>
      <c r="AG35" s="12" t="s">
        <v>90</v>
      </c>
      <c r="AH35" s="2" t="s">
        <v>74</v>
      </c>
      <c r="AI35" s="5" t="s">
        <v>266</v>
      </c>
      <c r="AJ35" s="13" t="s">
        <v>69</v>
      </c>
      <c r="AK35" s="13" t="s">
        <v>78</v>
      </c>
      <c r="AL35" s="14" t="s">
        <v>67</v>
      </c>
      <c r="AM35" s="14" t="s">
        <v>67</v>
      </c>
      <c r="AN35" s="14" t="s">
        <v>67</v>
      </c>
      <c r="AO35" s="14" t="s">
        <v>67</v>
      </c>
      <c r="AP35" s="14" t="s">
        <v>67</v>
      </c>
      <c r="AQ35" s="13" t="s">
        <v>242</v>
      </c>
      <c r="AR35" s="12" t="s">
        <v>67</v>
      </c>
      <c r="AS35" s="2" t="s">
        <v>76</v>
      </c>
      <c r="AT35" s="2" t="s">
        <v>243</v>
      </c>
      <c r="AU35" s="2" t="s">
        <v>267</v>
      </c>
      <c r="AV35" s="15" t="s">
        <v>79</v>
      </c>
      <c r="AW35" s="12" t="s">
        <v>67</v>
      </c>
      <c r="AX35" s="12" t="s">
        <v>67</v>
      </c>
      <c r="AY35" s="11" t="s">
        <v>67</v>
      </c>
      <c r="AZ35" s="1" t="s">
        <v>67</v>
      </c>
      <c r="BA35" s="1" t="s">
        <v>67</v>
      </c>
      <c r="BB35" s="1" t="s">
        <v>186</v>
      </c>
      <c r="BC35" s="16" t="s">
        <v>100</v>
      </c>
      <c r="BD35" s="2" t="s">
        <v>101</v>
      </c>
      <c r="BE35" s="12"/>
      <c r="BF35" s="12"/>
      <c r="BG35" s="1" t="s">
        <v>67</v>
      </c>
      <c r="BH35" s="1" t="s">
        <v>67</v>
      </c>
      <c r="BI35" s="8" t="s">
        <v>67</v>
      </c>
      <c r="BJ35" s="12"/>
      <c r="BK35" s="12"/>
      <c r="BL35" s="12"/>
    </row>
    <row r="36" spans="1:64" s="17" customFormat="1" ht="20.25" customHeight="1" x14ac:dyDescent="0.35">
      <c r="A36" s="1">
        <v>33</v>
      </c>
      <c r="B36" s="8" t="str">
        <f t="shared" si="0"/>
        <v>Oct_Release_FixedOrders_J8&amp;9_COT_E2E_TOM_0033</v>
      </c>
      <c r="C36" s="1" t="s">
        <v>67</v>
      </c>
      <c r="D36" s="1" t="s">
        <v>67</v>
      </c>
      <c r="E36" s="1" t="s">
        <v>67</v>
      </c>
      <c r="F36" s="1" t="s">
        <v>68</v>
      </c>
      <c r="G36" s="9" t="str">
        <f t="shared" si="1"/>
        <v>A valid SSO SSJ Journey for COT Across NW</v>
      </c>
      <c r="H36" s="10" t="s">
        <v>70</v>
      </c>
      <c r="I36" s="10" t="s">
        <v>69</v>
      </c>
      <c r="J36" s="9" t="s">
        <v>128</v>
      </c>
      <c r="K36" s="11" t="s">
        <v>72</v>
      </c>
      <c r="L36" s="1" t="s">
        <v>73</v>
      </c>
      <c r="M36" s="2" t="s">
        <v>63</v>
      </c>
      <c r="N36" s="2" t="s">
        <v>156</v>
      </c>
      <c r="O36" s="5" t="s">
        <v>157</v>
      </c>
      <c r="P36" s="1" t="s">
        <v>177</v>
      </c>
      <c r="Q36" s="1" t="s">
        <v>178</v>
      </c>
      <c r="R36" s="2" t="s">
        <v>123</v>
      </c>
      <c r="S36" s="12" t="s">
        <v>67</v>
      </c>
      <c r="T36" s="12" t="s">
        <v>278</v>
      </c>
      <c r="U36" s="1" t="s">
        <v>81</v>
      </c>
      <c r="V36" s="12" t="s">
        <v>82</v>
      </c>
      <c r="W36" s="12" t="s">
        <v>83</v>
      </c>
      <c r="X36" s="12" t="s">
        <v>67</v>
      </c>
      <c r="Y36" s="12" t="s">
        <v>69</v>
      </c>
      <c r="Z36" s="12" t="s">
        <v>112</v>
      </c>
      <c r="AA36" s="12" t="s">
        <v>67</v>
      </c>
      <c r="AB36" s="12" t="s">
        <v>270</v>
      </c>
      <c r="AC36" s="12" t="s">
        <v>271</v>
      </c>
      <c r="AD36" s="12" t="s">
        <v>67</v>
      </c>
      <c r="AE36" s="27" t="s">
        <v>67</v>
      </c>
      <c r="AF36" s="12" t="s">
        <v>279</v>
      </c>
      <c r="AG36" s="29" t="s">
        <v>90</v>
      </c>
      <c r="AH36" s="2" t="s">
        <v>82</v>
      </c>
      <c r="AI36" s="5" t="s">
        <v>81</v>
      </c>
      <c r="AJ36" s="13" t="s">
        <v>67</v>
      </c>
      <c r="AK36" s="13" t="s">
        <v>108</v>
      </c>
      <c r="AL36" s="14" t="s">
        <v>67</v>
      </c>
      <c r="AM36" s="14" t="s">
        <v>67</v>
      </c>
      <c r="AN36" s="14" t="s">
        <v>67</v>
      </c>
      <c r="AO36" s="14" t="s">
        <v>67</v>
      </c>
      <c r="AP36" s="14" t="s">
        <v>67</v>
      </c>
      <c r="AQ36" s="13" t="s">
        <v>272</v>
      </c>
      <c r="AR36" s="12" t="s">
        <v>67</v>
      </c>
      <c r="AS36" s="2" t="s">
        <v>109</v>
      </c>
      <c r="AT36" s="2" t="s">
        <v>121</v>
      </c>
      <c r="AU36" s="2" t="s">
        <v>122</v>
      </c>
      <c r="AV36" s="15" t="s">
        <v>79</v>
      </c>
      <c r="AW36" s="12" t="s">
        <v>67</v>
      </c>
      <c r="AX36" s="12" t="s">
        <v>67</v>
      </c>
      <c r="AY36" s="11" t="s">
        <v>67</v>
      </c>
      <c r="AZ36" s="1" t="s">
        <v>67</v>
      </c>
      <c r="BA36" s="1" t="s">
        <v>67</v>
      </c>
      <c r="BB36" s="1" t="s">
        <v>186</v>
      </c>
      <c r="BC36" s="16" t="s">
        <v>100</v>
      </c>
      <c r="BD36" s="2" t="s">
        <v>101</v>
      </c>
      <c r="BE36" s="12"/>
      <c r="BF36" s="12"/>
      <c r="BG36" s="1" t="s">
        <v>67</v>
      </c>
      <c r="BH36" s="1" t="s">
        <v>67</v>
      </c>
      <c r="BI36" s="8" t="s">
        <v>67</v>
      </c>
      <c r="BJ36" s="12"/>
      <c r="BK36" s="12"/>
      <c r="BL36" s="12"/>
    </row>
    <row r="37" spans="1:64" s="17" customFormat="1" x14ac:dyDescent="0.35">
      <c r="AJ37" s="32"/>
      <c r="AK37" s="32"/>
      <c r="AL37" s="32"/>
      <c r="AM37" s="33"/>
      <c r="AN37" s="33"/>
      <c r="AO37" s="33"/>
      <c r="AP37" s="33"/>
    </row>
    <row r="38" spans="1:64" s="17" customFormat="1" x14ac:dyDescent="0.35">
      <c r="AJ38" s="32"/>
      <c r="AK38" s="32"/>
      <c r="AL38" s="32"/>
      <c r="AM38" s="32"/>
      <c r="AN38" s="32"/>
      <c r="AO38" s="32"/>
      <c r="AP38" s="32"/>
    </row>
    <row r="39" spans="1:64" s="17" customFormat="1" x14ac:dyDescent="0.35">
      <c r="AJ39" s="32"/>
      <c r="AK39" s="32"/>
      <c r="AL39" s="32"/>
      <c r="AM39" s="32"/>
      <c r="AN39" s="32"/>
      <c r="AO39" s="32"/>
      <c r="AP39" s="32"/>
    </row>
    <row r="40" spans="1:64" s="17" customFormat="1" x14ac:dyDescent="0.35">
      <c r="AJ40" s="32"/>
      <c r="AK40" s="32"/>
      <c r="AL40" s="32"/>
      <c r="AM40" s="32"/>
      <c r="AN40" s="32"/>
      <c r="AO40" s="32"/>
      <c r="AP40" s="32"/>
    </row>
    <row r="41" spans="1:64" s="17" customFormat="1" x14ac:dyDescent="0.35">
      <c r="AJ41" s="32"/>
      <c r="AK41" s="32"/>
      <c r="AL41" s="32"/>
      <c r="AM41" s="32"/>
      <c r="AN41" s="32"/>
      <c r="AO41" s="32"/>
      <c r="AP41" s="32"/>
    </row>
    <row r="42" spans="1:64" s="17" customFormat="1" x14ac:dyDescent="0.35">
      <c r="AJ42" s="32"/>
      <c r="AK42" s="32"/>
      <c r="AL42" s="32"/>
      <c r="AM42" s="32"/>
      <c r="AN42" s="32"/>
      <c r="AO42" s="32"/>
      <c r="AP42" s="32"/>
    </row>
    <row r="43" spans="1:64" s="17" customFormat="1" x14ac:dyDescent="0.35">
      <c r="AJ43" s="32"/>
      <c r="AK43" s="32"/>
      <c r="AL43" s="32"/>
      <c r="AM43" s="32"/>
      <c r="AN43" s="32"/>
      <c r="AO43" s="32"/>
      <c r="AP43" s="32"/>
    </row>
    <row r="44" spans="1:64" s="17" customFormat="1" x14ac:dyDescent="0.35">
      <c r="AJ44" s="32"/>
      <c r="AK44" s="32"/>
      <c r="AL44" s="32"/>
      <c r="AM44" s="32"/>
      <c r="AN44" s="32"/>
      <c r="AO44" s="32"/>
      <c r="AP44" s="32"/>
    </row>
    <row r="45" spans="1:64" s="17" customFormat="1" x14ac:dyDescent="0.35">
      <c r="AJ45" s="32"/>
      <c r="AK45" s="32"/>
      <c r="AL45" s="32"/>
      <c r="AM45" s="32"/>
      <c r="AN45" s="32"/>
      <c r="AO45" s="32"/>
      <c r="AP45" s="32"/>
    </row>
    <row r="46" spans="1:64" s="17" customFormat="1" x14ac:dyDescent="0.35">
      <c r="AJ46" s="32"/>
      <c r="AK46" s="32"/>
      <c r="AL46" s="32"/>
      <c r="AM46" s="32"/>
      <c r="AN46" s="32"/>
      <c r="AO46" s="32"/>
      <c r="AP46" s="32"/>
    </row>
  </sheetData>
  <mergeCells count="66">
    <mergeCell ref="Q1:Q3"/>
    <mergeCell ref="R1:R3"/>
    <mergeCell ref="S1:S3"/>
    <mergeCell ref="L1:L3"/>
    <mergeCell ref="M1:M3"/>
    <mergeCell ref="N1:N3"/>
    <mergeCell ref="O1:O3"/>
    <mergeCell ref="P1:P3"/>
    <mergeCell ref="K1:K3"/>
    <mergeCell ref="A1:A3"/>
    <mergeCell ref="B1:B3"/>
    <mergeCell ref="C1:F1"/>
    <mergeCell ref="G1:I1"/>
    <mergeCell ref="J1:J3"/>
    <mergeCell ref="T1:T3"/>
    <mergeCell ref="U1:U3"/>
    <mergeCell ref="W1:W3"/>
    <mergeCell ref="AH1:AH3"/>
    <mergeCell ref="AI1:AI3"/>
    <mergeCell ref="AB1:AB3"/>
    <mergeCell ref="AC1:AC3"/>
    <mergeCell ref="X1:X3"/>
    <mergeCell ref="Y1:Y3"/>
    <mergeCell ref="Z1:Z3"/>
    <mergeCell ref="AA1:AA3"/>
    <mergeCell ref="AD1:AD3"/>
    <mergeCell ref="AE1:AE3"/>
    <mergeCell ref="AF1:AF3"/>
    <mergeCell ref="V1:V3"/>
    <mergeCell ref="AG1:AG3"/>
    <mergeCell ref="AM1:AM3"/>
    <mergeCell ref="AN1:AN3"/>
    <mergeCell ref="AO1:AO3"/>
    <mergeCell ref="AP1:AP3"/>
    <mergeCell ref="AK1:AK3"/>
    <mergeCell ref="AL1:AL3"/>
    <mergeCell ref="BC1:BC3"/>
    <mergeCell ref="BD1:BD3"/>
    <mergeCell ref="AQ1:AQ3"/>
    <mergeCell ref="AR1:AR3"/>
    <mergeCell ref="BB1:BB3"/>
    <mergeCell ref="BA1:BA3"/>
    <mergeCell ref="AU1:AU3"/>
    <mergeCell ref="AV1:AV3"/>
    <mergeCell ref="AW1:AW3"/>
    <mergeCell ref="AX1:AX3"/>
    <mergeCell ref="AY1:AY3"/>
    <mergeCell ref="AZ1:AZ3"/>
    <mergeCell ref="AS1:AS3"/>
    <mergeCell ref="AT1:AT3"/>
    <mergeCell ref="BL1:BL3"/>
    <mergeCell ref="C2:C3"/>
    <mergeCell ref="D2:D3"/>
    <mergeCell ref="E2:E3"/>
    <mergeCell ref="F2:F3"/>
    <mergeCell ref="G2:G3"/>
    <mergeCell ref="H2:H3"/>
    <mergeCell ref="I2:I3"/>
    <mergeCell ref="BF1:BF3"/>
    <mergeCell ref="BG1:BG3"/>
    <mergeCell ref="BH1:BH3"/>
    <mergeCell ref="BI1:BI3"/>
    <mergeCell ref="BJ1:BJ3"/>
    <mergeCell ref="BK1:BK3"/>
    <mergeCell ref="BE1:BE3"/>
    <mergeCell ref="AJ1:AJ3"/>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CEDAFB0F1AE60458E402AFBFE4510F5" ma:contentTypeVersion="10" ma:contentTypeDescription="Create a new document." ma:contentTypeScope="" ma:versionID="9636c13522da1dab7e8315c3997b7ae3">
  <xsd:schema xmlns:xsd="http://www.w3.org/2001/XMLSchema" xmlns:xs="http://www.w3.org/2001/XMLSchema" xmlns:p="http://schemas.microsoft.com/office/2006/metadata/properties" xmlns:ns2="c747c2af-dcaf-464d-84f4-127755156d6e" xmlns:ns3="5d2d922d-cc24-44ed-b1aa-e0a2a8540c0f" targetNamespace="http://schemas.microsoft.com/office/2006/metadata/properties" ma:root="true" ma:fieldsID="dda63fbc92976f36f2bc30b15cdd0ce5" ns2:_="" ns3:_="">
    <xsd:import namespace="c747c2af-dcaf-464d-84f4-127755156d6e"/>
    <xsd:import namespace="5d2d922d-cc24-44ed-b1aa-e0a2a8540c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47c2af-dcaf-464d-84f4-127755156d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d2d922d-cc24-44ed-b1aa-e0a2a8540c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20ba5ee-831a-4666-abda-16b817637958}" ma:internalName="TaxCatchAll" ma:showField="CatchAllData" ma:web="5d2d922d-cc24-44ed-b1aa-e0a2a8540c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2d922d-cc24-44ed-b1aa-e0a2a8540c0f" xsi:nil="true"/>
    <lcf76f155ced4ddcb4097134ff3c332f xmlns="c747c2af-dcaf-464d-84f4-127755156d6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6E26D6-01CB-4759-BA86-1F82F68BE66D}">
  <ds:schemaRefs>
    <ds:schemaRef ds:uri="http://schemas.microsoft.com/sharepoint/v3/contenttype/forms"/>
  </ds:schemaRefs>
</ds:datastoreItem>
</file>

<file path=customXml/itemProps2.xml><?xml version="1.0" encoding="utf-8"?>
<ds:datastoreItem xmlns:ds="http://schemas.openxmlformats.org/officeDocument/2006/customXml" ds:itemID="{253A8A9D-5DEB-4187-B0E4-BDCE6D45F2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47c2af-dcaf-464d-84f4-127755156d6e"/>
    <ds:schemaRef ds:uri="5d2d922d-cc24-44ed-b1aa-e0a2a8540c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8A7E0DF-10C9-4F12-B9EB-62B95E242380}">
  <ds:schemaRefs>
    <ds:schemaRef ds:uri="http://schemas.microsoft.com/office/2006/documentManagement/types"/>
    <ds:schemaRef ds:uri="c747c2af-dcaf-464d-84f4-127755156d6e"/>
    <ds:schemaRef ds:uri="http://www.w3.org/XML/1998/namespace"/>
    <ds:schemaRef ds:uri="http://schemas.microsoft.com/office/2006/metadata/propertie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5d2d922d-cc24-44ed-b1aa-e0a2a8540c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COT</vt:lpstr>
      <vt:lpstr>Review Comments</vt:lpstr>
      <vt:lpstr>Testcase Validation</vt:lpstr>
      <vt:lpstr>Sheet1</vt:lpstr>
      <vt:lpstr>COT_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SOWMIYA ASHOKKUMAR</dc:creator>
  <cp:keywords/>
  <dc:description/>
  <cp:lastModifiedBy>PAVITHRA P</cp:lastModifiedBy>
  <cp:revision/>
  <dcterms:created xsi:type="dcterms:W3CDTF">2026-08-28T07:51:24Z</dcterms:created>
  <dcterms:modified xsi:type="dcterms:W3CDTF">2026-09-08T10:59:42Z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0x0101002CEDAFB0F1AE60458E402AFBFE4510F5</vt:lpwstr>
  </property>
  <property fmtid="{D5CDD505-2E9C-101B-9397-08002B2CF9AE}" pid="3" name="MediaServiceImageTags">
    <vt:lpwstr/>
  </property>
</Properties>
</file>