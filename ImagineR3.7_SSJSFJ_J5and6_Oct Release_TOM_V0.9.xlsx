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cscomprod-my.sharepoint.com/personal/733956_tcs_com/Documents/"/>
    </mc:Choice>
  </mc:AlternateContent>
  <xr:revisionPtr revIDLastSave="13" documentId="8_{A60978F5-0E3C-4FAB-908A-47D20DD8BEE6}" xr6:coauthVersionLast="47" xr6:coauthVersionMax="47" xr10:uidLastSave="{9A6F2562-395A-4E8E-A088-6FC5EDC595BF}"/>
  <bookViews>
    <workbookView xWindow="-110" yWindow="-110" windowWidth="19420" windowHeight="11500" firstSheet="1" activeTab="3" xr2:uid="{E98383B8-FCB9-4BDC-9DFC-443C330C264E}"/>
  </bookViews>
  <sheets>
    <sheet name="Testing considerations (2)" sheetId="34" state="hidden" r:id="rId1"/>
    <sheet name="Summary" sheetId="5" r:id="rId2"/>
    <sheet name="Fixed_Quote and orders" sheetId="14" state="hidden" r:id="rId3"/>
    <sheet name="E2E orders" sheetId="24" r:id="rId4"/>
    <sheet name="Review comments" sheetId="36" r:id="rId5"/>
    <sheet name="Testcase Verification" sheetId="50" r:id="rId6"/>
    <sheet name="Testing considerations" sheetId="33" state="hidden" r:id="rId7"/>
    <sheet name="Complex E2E" sheetId="20" state="hidden" r:id="rId8"/>
  </sheets>
  <definedNames>
    <definedName name="_xlnm._FilterDatabase" localSheetId="3" hidden="1">'E2E orders'!$A$1:$BE$1</definedName>
    <definedName name="_xlnm._FilterDatabase" localSheetId="2" hidden="1">'Fixed_Quote and orders'!$A$1:$K$133</definedName>
    <definedName name="_xlnm._FilterDatabase" localSheetId="4" hidden="1">'Review comments'!$A$1:$H$23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5" l="1"/>
  <c r="J8" i="5"/>
  <c r="I68" i="24" l="1"/>
  <c r="I43" i="24"/>
  <c r="J5" i="5" l="1"/>
  <c r="A2" i="36"/>
  <c r="A3" i="36"/>
  <c r="A4" i="36"/>
  <c r="A5" i="36"/>
  <c r="A6" i="36"/>
  <c r="A7" i="36"/>
  <c r="A8" i="36"/>
  <c r="A9" i="36"/>
  <c r="A10" i="36"/>
  <c r="A11" i="36"/>
  <c r="A12" i="36"/>
  <c r="A13" i="36"/>
  <c r="I67" i="24" l="1"/>
  <c r="I5" i="24"/>
  <c r="I6"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4" i="24"/>
  <c r="I45" i="24"/>
  <c r="I46" i="24"/>
  <c r="I47" i="24"/>
  <c r="I48" i="24"/>
  <c r="I49" i="24"/>
  <c r="I50" i="24"/>
  <c r="I51" i="24"/>
  <c r="I52" i="24"/>
  <c r="I53" i="24"/>
  <c r="I54" i="24"/>
  <c r="I55" i="24"/>
  <c r="I56" i="24"/>
  <c r="I57" i="24"/>
  <c r="I58" i="24"/>
  <c r="I59" i="24"/>
  <c r="I60" i="24"/>
  <c r="I61" i="24"/>
  <c r="I62" i="24"/>
  <c r="I63" i="24"/>
  <c r="I64" i="24"/>
  <c r="I65" i="24"/>
  <c r="I66" i="24"/>
  <c r="I4" i="24" l="1"/>
  <c r="J9" i="5" l="1"/>
  <c r="AU32" i="20" l="1"/>
</calcChain>
</file>

<file path=xl/sharedStrings.xml><?xml version="1.0" encoding="utf-8"?>
<sst xmlns="http://schemas.openxmlformats.org/spreadsheetml/2006/main" count="8538" uniqueCount="1344">
  <si>
    <t>Quote -Coverage check</t>
  </si>
  <si>
    <t>Single wholesaler:NBN</t>
  </si>
  <si>
    <t>Validate that below coverage result should be displayed in coverage check page for address using 'PSMA' Address search/Manual Address Search and Validate that the values should be displayed as per OneSQ response.</t>
  </si>
  <si>
    <t>a. Mobile coverage result</t>
  </si>
  <si>
    <t>4G -Available/Not available</t>
  </si>
  <si>
    <t>5G-Outdoor only/In door</t>
  </si>
  <si>
    <t>5G NSA-Available/Not Available</t>
  </si>
  <si>
    <t>b. Fixed line availability status</t>
  </si>
  <si>
    <t xml:space="preserve"> Availability as per OneSQ Response (Eg: NBN-Available with green icon  ; Vision-Not Available with Red icon; Opticomm -Not Available with Red icon </t>
  </si>
  <si>
    <t>As per the priority set in One SQ - Current Priority is Opticomm, NBN , Vision (Eg: Preferred wholesaler - NBN )</t>
  </si>
  <si>
    <t xml:space="preserve"> NBN details</t>
  </si>
  <si>
    <t>Internet Location Id LOCXXXXXXXXXXXX(Ex: LOC740100003843 )</t>
  </si>
  <si>
    <t>Service Class X</t>
  </si>
  <si>
    <t>Technology Type XXXX</t>
  </si>
  <si>
    <t>New Development (True from One SQ, Then display " $300 Development charge for first time connection" , False from oneSQ, then display blank )</t>
  </si>
  <si>
    <t>Max Attainable Speed XXXXXX</t>
  </si>
  <si>
    <t>Fiber Upgrade Not Available/Available</t>
  </si>
  <si>
    <t>NDT Details</t>
  </si>
  <si>
    <t>( Should be available only if Technology is FTTP/HFC, If its copper technology, this should not be available)</t>
  </si>
  <si>
    <t>No of active service XX  (Eg: 1 out of 4 )</t>
  </si>
  <si>
    <t>Total capacity  XXX Mbps</t>
  </si>
  <si>
    <t>In use   XXX Mbps</t>
  </si>
  <si>
    <t>Remaining XXX Mbps (Siebel should display remaining bandwidth value by calculating Total capacity - In Use)</t>
  </si>
  <si>
    <t>c. Fixed Wireless availability status</t>
  </si>
  <si>
    <t>4G -Not available with  red icon/available with green icon</t>
  </si>
  <si>
    <t>5G NSA -Not available with  red icon/available with green icon</t>
  </si>
  <si>
    <t>Single wholesaler: Vision</t>
  </si>
  <si>
    <t xml:space="preserve"> Availability as per OneSQ Response (Eg: Vision-Available with green icon  ; NBN-Not Available with Red icon; Opticomm -Not Available with Red icon </t>
  </si>
  <si>
    <t>As per the priority set in One SQ - Current Priority is Opticomm, NBN , Vision (Eg: Preferred wholesaler - Vision )</t>
  </si>
  <si>
    <t xml:space="preserve"> Vision details</t>
  </si>
  <si>
    <t>Single wholesaler: Opticomm</t>
  </si>
  <si>
    <t>As per the priority set in One SQ - Current Priority is Opticomm, NBN , Vision (Eg: Preferred wholesaler - Opticomm )</t>
  </si>
  <si>
    <t xml:space="preserve"> Opticomm details</t>
  </si>
  <si>
    <t>Internet Location Id LOCXXXXXXXXXXXX(Ex: OPC740100003843 )</t>
  </si>
  <si>
    <t>Multiple wholesaler: Eg: NBN &amp; Opticomm</t>
  </si>
  <si>
    <t xml:space="preserve"> Availability as per OneSQ Response (Eg: NBN-Available with green icon  ; Vision-Not Available with Red icon; Opticomm - Available with green icon </t>
  </si>
  <si>
    <t>Select wholesaler drop down with value NBN and Opticmm should be available</t>
  </si>
  <si>
    <t>** If User selects NBN in the drop down , One More OneSQ should be triggered and NBN related information should be displayed as below</t>
  </si>
  <si>
    <t>Fulfillment -Coverage check -  NBN</t>
  </si>
  <si>
    <t>•  Validate coverage check -NBN with 'Edit in cart' button section should be displayed with below details</t>
  </si>
  <si>
    <t>a. Service address: XX XXXXXX</t>
  </si>
  <si>
    <t>b. Service qualification</t>
  </si>
  <si>
    <t>Preferred wholesaler  NBN</t>
  </si>
  <si>
    <t>Max Attainable speed  XXXXX</t>
  </si>
  <si>
    <t>Technology Type       XXXX</t>
  </si>
  <si>
    <t>Technology Description Service class description</t>
  </si>
  <si>
    <t>Input field for Landline number (FNN/ULL)</t>
  </si>
  <si>
    <t>•  Validate Fixed appointment section should be displayed with 'Book a Fixed appointment' button.</t>
  </si>
  <si>
    <t>•  Validate appointment popup window should be displayed with below details</t>
  </si>
  <si>
    <t>Fixed Location ID LOCXXXXXXX</t>
  </si>
  <si>
    <t>Demand Type Standard Installation</t>
  </si>
  <si>
    <t>Connection Date DD-MON-YYYY</t>
  </si>
  <si>
    <t>Appointment status New</t>
  </si>
  <si>
    <t>Fixed Appointment ID -</t>
  </si>
  <si>
    <t xml:space="preserve">a. Time slot section </t>
  </si>
  <si>
    <t>Time slot table will be empty in default state until agent clicks “Find available slot”. Once button is clicked the table will be populated and agent can select from list of available slots based on selected preferred date and time.</t>
  </si>
  <si>
    <t>Once button is clicked the table will be populated and agent can select from list of available slots based on selected preferred date and time.</t>
  </si>
  <si>
    <t>b. Appointment primary contact will be pre-populated from Customer Account information and will be editable. “Type” field will be selectable with options for “Primary contact” or “End user”</t>
  </si>
  <si>
    <t>c. After click the 'Reserve button', agent navigate to Fixed appointment section with below details updated.</t>
  </si>
  <si>
    <t>Appointment reserved success banner</t>
  </si>
  <si>
    <t xml:space="preserve">Time slot Date &amp; Time </t>
  </si>
  <si>
    <t>Appointment status Reserved</t>
  </si>
  <si>
    <t>Fixed Appointment ID XXXXXXXX</t>
  </si>
  <si>
    <t>Modify appointment and Cancel appointment button should be available</t>
  </si>
  <si>
    <t>•  Validate Enhanced Fixed Check section with below details</t>
  </si>
  <si>
    <t>For service transfer , Outstanding,  Internal loss order types AVC ID should be mandatory to proceed further.</t>
  </si>
  <si>
    <t>agent should select the radio button "YES" for Does Customer have Access Service ID(AVC ID)? If AVC ID is known, Else select ' UnKnown AVC ID' button</t>
  </si>
  <si>
    <t>New input field to enter AVC ID should be displayed if Agent clicks ' yes'</t>
  </si>
  <si>
    <t>Agent should enable the check box ('Customer has agreed to enhanced check') to enable the enhanced check button</t>
  </si>
  <si>
    <t>On clicking Enhanced  Check button , one More OneSQ request should be triggered in the backend, and additional values (Product Instance, Service Provider, Service ID Match) should be updated in Service List table</t>
  </si>
  <si>
    <t>•  Validate Service list section</t>
  </si>
  <si>
    <t>Table with below columns should be displayed with details which is available in onesq.</t>
  </si>
  <si>
    <t>NTD ID</t>
  </si>
  <si>
    <t xml:space="preserve">UNI D/V </t>
  </si>
  <si>
    <t>Status - Used/Free</t>
  </si>
  <si>
    <t>Order Availability</t>
  </si>
  <si>
    <t>Product ID</t>
  </si>
  <si>
    <t>Priority</t>
  </si>
  <si>
    <t>NTD Installation</t>
  </si>
  <si>
    <t>PS/Batter</t>
  </si>
  <si>
    <t>Service ID</t>
  </si>
  <si>
    <t>•  Validate Order Information section</t>
  </si>
  <si>
    <t>Existing Service</t>
  </si>
  <si>
    <t>Check Box - Customer wants to keep exisiting fixed service active</t>
  </si>
  <si>
    <t xml:space="preserve">Check Box- Customer wants an additional NBN connection box(NTD/Copper Pair) </t>
  </si>
  <si>
    <t>•  Validate Transfer details section</t>
  </si>
  <si>
    <t xml:space="preserve">Transfer Type dropdown - New, Belongs to other, Belongs to customer </t>
  </si>
  <si>
    <t>If  agent selects Free line, Transfer type should be New;</t>
  </si>
  <si>
    <t xml:space="preserve"> If agent selects Used lines, Transfer Type should be dropdown values as Belongs to Customer, Belongs to other</t>
  </si>
  <si>
    <t>If Agents Selects Belongs to Other option , Alert message should display  regarding pending process as per Figma</t>
  </si>
  <si>
    <t>Connection Date field should be diaplyed only If agent selects Belongs to Other, Defaulted to Todays date. Agent can modify to future date as well</t>
  </si>
  <si>
    <t>Installation Option - Its mandatory depending on Technology . If its mandatory , asterisk should be displayed for required field</t>
  </si>
  <si>
    <t>Additional/chargeable copper pair waive reason</t>
  </si>
  <si>
    <t xml:space="preserve"> </t>
  </si>
  <si>
    <t>High Speed - Eligible/Not Eligible</t>
  </si>
  <si>
    <t>Fibre Connect - Serviceable/Not serviceable</t>
  </si>
  <si>
    <t>Fibre Upgrade High Speed - Not eligible/Eligible</t>
  </si>
  <si>
    <t>Prepayment &amp; Sharing - Prepayment available</t>
  </si>
  <si>
    <t>* Prepayment tab should be displayed with below details:</t>
  </si>
  <si>
    <t xml:space="preserve"> Total device cost: $XXXX</t>
  </si>
  <si>
    <t xml:space="preserve"> Total APP Cost : $XXXX</t>
  </si>
  <si>
    <t xml:space="preserve"> Devices &amp; accessories amount in Order : $XXXX</t>
  </si>
  <si>
    <t xml:space="preserve"> Prepayment Option : Voluntary or Involuntary</t>
  </si>
  <si>
    <t xml:space="preserve"> Remaining Equipment Limit : $XXXX</t>
  </si>
  <si>
    <t xml:space="preserve"> Required Minimum prepayment amount : $XXXX</t>
  </si>
  <si>
    <t xml:space="preserve"> Prepayment amount ready to pay upfront - $XXXX (Amount should be populated)</t>
  </si>
  <si>
    <t>* Payment Plan table should be populated with the below details of selected deviced &amp; app with Prepayment details.</t>
  </si>
  <si>
    <t xml:space="preserve"> Service Order ID: 3-XXXXXX</t>
  </si>
  <si>
    <t xml:space="preserve"> MSISDN : 614XXXXXXXX</t>
  </si>
  <si>
    <t xml:space="preserve"> Contract Amount : $XXXX</t>
  </si>
  <si>
    <t xml:space="preserve"> Device/Accessory name: XXXXXX</t>
  </si>
  <si>
    <t xml:space="preserve"> Original Monthly amount : $XXXX</t>
  </si>
  <si>
    <t xml:space="preserve"> New Monthly Amount : $XXXX</t>
  </si>
  <si>
    <t xml:space="preserve"> Prepayment : $XXXX</t>
  </si>
  <si>
    <t>* Data sharing should be selected if the selected plan applicable for sharing.</t>
  </si>
  <si>
    <t>* Sharing checkbox should be checked and Add member action should be updated.</t>
  </si>
  <si>
    <t>* Existing subscription with plan, MSISDN and sharing group details should be displayed.</t>
  </si>
  <si>
    <t>* Sharing group with Set up sharing group &amp; select group should be updated.</t>
  </si>
  <si>
    <t>Prepayment &amp; Sharing - No Prepayment</t>
  </si>
  <si>
    <t>* No prepayment section should be displayed.</t>
  </si>
  <si>
    <t>* Data sharing with product, MSISDN, connection type details should be displayed.</t>
  </si>
  <si>
    <t xml:space="preserve">Make a Prepayment </t>
  </si>
  <si>
    <t>* Quote with Quote ID should be displayed.</t>
  </si>
  <si>
    <t>* Below details should be updated below:</t>
  </si>
  <si>
    <t>* Prepayment contract summary with selected prepayment devices &amp; accessories should be updated as below:</t>
  </si>
  <si>
    <t>Service Order ID : 3-XXXXXXXX</t>
  </si>
  <si>
    <t>MSISDN: 614XXXXXXXX</t>
  </si>
  <si>
    <t>Contract Item: XXXXXXX</t>
  </si>
  <si>
    <t>Contract Amount: $XXXXX</t>
  </si>
  <si>
    <t>Device/Accessory:XXXX</t>
  </si>
  <si>
    <t>Device/Accessory name:XXXXXXXX</t>
  </si>
  <si>
    <t>Post Review Comments</t>
  </si>
  <si>
    <t>Modules</t>
  </si>
  <si>
    <t>Total</t>
  </si>
  <si>
    <t>E2E - J5 &amp; 6</t>
  </si>
  <si>
    <t>E2E Orders</t>
  </si>
  <si>
    <t>Miscellaneous- J5&amp;6</t>
  </si>
  <si>
    <t>MSO - J5&amp;6</t>
  </si>
  <si>
    <t>TBC</t>
  </si>
  <si>
    <t>E2E - J4- RPC</t>
  </si>
  <si>
    <t>RPC</t>
  </si>
  <si>
    <t>Scope to be done</t>
  </si>
  <si>
    <t>TOM ID</t>
  </si>
  <si>
    <t>Pre-requisite Condition</t>
  </si>
  <si>
    <t>Order Type</t>
  </si>
  <si>
    <t>Customer Segment</t>
  </si>
  <si>
    <t>Customer Type</t>
  </si>
  <si>
    <t>Channel</t>
  </si>
  <si>
    <t>Technology</t>
  </si>
  <si>
    <t>Scenario</t>
  </si>
  <si>
    <t>Verification/Validation</t>
  </si>
  <si>
    <t>TC's Split</t>
  </si>
  <si>
    <t>TC Count</t>
  </si>
  <si>
    <t>Fixed_SFJ_Quotes &amp; Orders_SIT_TOM001</t>
  </si>
  <si>
    <t>Quote created for new customer</t>
  </si>
  <si>
    <t>Connect</t>
  </si>
  <si>
    <t>NA</t>
  </si>
  <si>
    <t>New</t>
  </si>
  <si>
    <t>Care</t>
  </si>
  <si>
    <t>NBN</t>
  </si>
  <si>
    <t>Ensure Quotes created for new customers are listed in Sales Calculator - Search all quotes</t>
  </si>
  <si>
    <t>New customer Quotes are listed.
Attachments and Email fields have Quote PDF and customer email id respectively.</t>
  </si>
  <si>
    <t>Fixed_SFJ_Quotes &amp; Orders_SIT_TOM002</t>
  </si>
  <si>
    <t>Retail</t>
  </si>
  <si>
    <t>Opticom</t>
  </si>
  <si>
    <t>Fixed_SFJ_Quotes &amp; Orders_SIT_TOM003</t>
  </si>
  <si>
    <t>Vision</t>
  </si>
  <si>
    <t>Fixed_SFJ_Quotes &amp; Orders_SIT_TOM004</t>
  </si>
  <si>
    <t>Existing</t>
  </si>
  <si>
    <t>FWA</t>
  </si>
  <si>
    <t>Fixed_SFJ_Quotes &amp; Orders_SIT_TOM005</t>
  </si>
  <si>
    <t>Quote created for existing customer</t>
  </si>
  <si>
    <t>Business</t>
  </si>
  <si>
    <t>Ensure existing customers quotes not listed from Sales Calculator - Search all quotes</t>
  </si>
  <si>
    <t>Existing customer Quotes are not listed</t>
  </si>
  <si>
    <t>Fixed_SFJ_Quotes &amp; Orders_SIT_TOM006</t>
  </si>
  <si>
    <t>Consumer</t>
  </si>
  <si>
    <t>Fixed_SFJ_Quotes &amp; Orders_SIT_TOM007</t>
  </si>
  <si>
    <t>Fixed_SFJ_Quotes &amp; Orders_SIT_TOM008</t>
  </si>
  <si>
    <t>Fixed_SFJ_Quotes &amp; Orders_SIT_TOM009</t>
  </si>
  <si>
    <t>Ensure existing customers quotes are listed in Customer account overview. Sales Calculator - Sales Calculator - Quotes and orders under customer account info.</t>
  </si>
  <si>
    <t>Only the respective customer's all Quotes are listed.</t>
  </si>
  <si>
    <t>Single BA</t>
  </si>
  <si>
    <t>Fixed_SFJ_Quotes &amp; Orders_SIT_TOM010</t>
  </si>
  <si>
    <t>Multiple BA</t>
  </si>
  <si>
    <t>Fixed_SFJ_Quotes &amp; Orders_SIT_TOM011</t>
  </si>
  <si>
    <t>Fixed_SFJ_Quotes &amp; Orders_SIT_TOM012</t>
  </si>
  <si>
    <t>Fixed_SFJ_Quotes &amp; Orders_SIT_TOM013</t>
  </si>
  <si>
    <t>Verify that the alert banner is displayed, when a quote is created, fulfilment is in progress and order not submitted for any of the listed service under BA.</t>
  </si>
  <si>
    <t>Pending order warning alert banner is displayed under BAN.</t>
  </si>
  <si>
    <r>
      <rPr>
        <sz val="10"/>
        <color rgb="FF000000"/>
        <rFont val="Aptos Narrow"/>
        <family val="2"/>
      </rPr>
      <t xml:space="preserve">Pending
</t>
    </r>
    <r>
      <rPr>
        <b/>
        <sz val="10"/>
        <color rgb="FF000000"/>
        <rFont val="Aptos Narrow"/>
        <family val="2"/>
      </rPr>
      <t xml:space="preserve">On-Hold
</t>
    </r>
  </si>
  <si>
    <t>Fixed_SFJ_Quotes &amp; Orders_SIT_TOM014</t>
  </si>
  <si>
    <t>TBUI pending order
Native pending order</t>
  </si>
  <si>
    <t>Fixed_SFJ_Quotes &amp; Orders_SIT_TOM015</t>
  </si>
  <si>
    <t>Fixed_SFJ_Quotes &amp; Orders_SIT_TOM016</t>
  </si>
  <si>
    <t>Fixed_SFJ_Quotes &amp; Orders_SIT_TOM017</t>
  </si>
  <si>
    <t>Verify that the alert banner is displayed, when a quote is created, fulfilment is processed, order is submitted and not completed for any of the listed service under BA.</t>
  </si>
  <si>
    <t>Order in progress warning alert banner is displayed under BAN.</t>
  </si>
  <si>
    <t>Order Submitted
Order Error
Provisioning error</t>
  </si>
  <si>
    <t>Fixed_SFJ_Quotes &amp; Orders_SIT_TOM018</t>
  </si>
  <si>
    <t>Fixed_SFJ_Quotes &amp; Orders_SIT_TOM019</t>
  </si>
  <si>
    <t>Fixed_SFJ_Quotes &amp; Orders_SIT_TOM020</t>
  </si>
  <si>
    <t>Fixed_SFJ_Quotes &amp; Orders_SIT_TOM021</t>
  </si>
  <si>
    <t>TBUI session
SFJ session</t>
  </si>
  <si>
    <t>Verify that TBUI paused session is not opened in SFJ.
Verify that SFJ paused session is not opened in TBUI.</t>
  </si>
  <si>
    <t>Fixed_SFJ_Quotes &amp; Orders_SIT_TOM022</t>
  </si>
  <si>
    <t xml:space="preserve">
Existing</t>
  </si>
  <si>
    <t>Fixed_SFJ_Quotes &amp; Orders_SIT_TOM023</t>
  </si>
  <si>
    <t>Fixed_SFJ_Quotes &amp; Orders_SIT_TOM024</t>
  </si>
  <si>
    <t>Fixed_SFJ_Quotes &amp; Orders_SIT_TOM025</t>
  </si>
  <si>
    <t>A valid SSJ quote</t>
  </si>
  <si>
    <t>Ensure Email quote, Check validity, Resume are not enabled for Quotes with below statuses.
Quote Expired</t>
  </si>
  <si>
    <t>Buttons are not enabled.</t>
  </si>
  <si>
    <t>Fixed_SFJ_Quotes &amp; Orders_SIT_TOM026</t>
  </si>
  <si>
    <t>Fixed_SFJ_Quotes &amp; Orders_SIT_TOM027</t>
  </si>
  <si>
    <t>Fixed_SFJ_Quotes &amp; Orders_SIT_TOM028</t>
  </si>
  <si>
    <t>Fixed_SFJ_Quotes &amp; Orders_SIT_TOM029</t>
  </si>
  <si>
    <t>Fixed_SFJ_Quotes &amp; Orders_SIT_TOM030</t>
  </si>
  <si>
    <t>Fixed_SFJ_Quotes &amp; Orders_SIT_TOM031</t>
  </si>
  <si>
    <t>Fixed_SFJ_Quotes &amp; Orders_SIT_TOM032</t>
  </si>
  <si>
    <t>Ensure Email quote, Check validity, Resume are enabled for Quotes with below statuses.
Quote Submitted/Saved
Order InProgress</t>
  </si>
  <si>
    <t>Buttons are enabled.</t>
  </si>
  <si>
    <t>New
Existing</t>
  </si>
  <si>
    <r>
      <rPr>
        <sz val="10"/>
        <color rgb="FF000000"/>
        <rFont val="Aptos Narrow"/>
        <family val="2"/>
      </rPr>
      <t xml:space="preserve">Ensure </t>
    </r>
    <r>
      <rPr>
        <b/>
        <sz val="10"/>
        <color rgb="FF000000"/>
        <rFont val="Aptos Narrow"/>
        <family val="2"/>
      </rPr>
      <t>Email quote is not enabled</t>
    </r>
    <r>
      <rPr>
        <sz val="10"/>
        <color rgb="FF000000"/>
        <rFont val="Aptos Narrow"/>
        <family val="2"/>
      </rPr>
      <t>, Check Validity and Resume are enabled for Quote InProgress status.</t>
    </r>
  </si>
  <si>
    <t>Email quote is not enabled, Check validity and Resume is enabled</t>
  </si>
  <si>
    <r>
      <rPr>
        <sz val="10"/>
        <color rgb="FF000000"/>
        <rFont val="Aptos Narrow"/>
        <family val="2"/>
      </rPr>
      <t>Ensure</t>
    </r>
    <r>
      <rPr>
        <b/>
        <sz val="10"/>
        <color rgb="FF000000"/>
        <rFont val="Aptos Narrow"/>
        <family val="2"/>
      </rPr>
      <t xml:space="preserve"> Email quote is enabled</t>
    </r>
    <r>
      <rPr>
        <sz val="10"/>
        <color rgb="FF000000"/>
        <rFont val="Aptos Narrow"/>
        <family val="2"/>
      </rPr>
      <t>, Check validity and Resume are not enabled for Quotes with below status.
Order Submitted
Order Partially Complete
Order Complete</t>
    </r>
  </si>
  <si>
    <t>Email quote alone enabled.</t>
  </si>
  <si>
    <t>Existing - MSO</t>
  </si>
  <si>
    <t>New - SSO</t>
  </si>
  <si>
    <t>Verify that if a SFJ session is paused or returned to SSJ and clicked "Save and Exit", then the order status is updated as Order InProgress.
Also verify, all the relevant child orders state for MSO</t>
  </si>
  <si>
    <t>Status updated properly.
Child orders are in InProgress state.</t>
  </si>
  <si>
    <t>New - SSO
Existing - MSO</t>
  </si>
  <si>
    <t>Verify that if a SFJ session is submitted and the orders are processing, then the order status is updated as Order Submitted.</t>
  </si>
  <si>
    <t>Status updated properly.
Child orders are in submitted state or few complete and submitted state.</t>
  </si>
  <si>
    <t>Verify that if a SFJ session is submitted and the orders are processed successfully, then the order status is updated as Order Complete.</t>
  </si>
  <si>
    <t>Status updated properly.
Child orders are in Complete state</t>
  </si>
  <si>
    <t>Verify that if a SFJ session is submitted and the orders are processed partially, then the order status is updated as Order Partially Complete.</t>
  </si>
  <si>
    <t>Status updated properly.
Child orders are in Complete/Submitted state</t>
  </si>
  <si>
    <t>Verify that if a SFJ session is submitted and the orders are not processed successfully.</t>
  </si>
  <si>
    <t>Status updated properly.
All child orders are Failed/Provisioning error/Order error/Internal error - Status will be Order submitted.
Atleast one child order is complete, then status will be "Order Partially Complete".</t>
  </si>
  <si>
    <t>Verify that when clicked on "Create Quote" in SSJ and not entered SFJ, the Quote saved successfully and status is updated as "Quote Submitted"
Verify that when clicked on "Save and Exit" in SSJ and not entered SFJ, the Quote saved successfully and status is updated as "Quote InProgress"
Configure 7 days to 14 days and verify the expiry date</t>
  </si>
  <si>
    <t>Status updated properly for the Quote alongwith Date created, Expiry date(7days from created date) and Sales person name.</t>
  </si>
  <si>
    <t>Existing - SSO
Date Configuration</t>
  </si>
  <si>
    <t>New - MSO
Date Configuration</t>
  </si>
  <si>
    <t>Verify that once click on Email Quote, the Quote summary pdf is sent to the respective email id mentioned in email column.</t>
  </si>
  <si>
    <t>Email sent successfully</t>
  </si>
  <si>
    <t>Existing with below status
Order InProgress
Order Submitted
Order Partially Complete
Order Complete
Quote Submitted ( validate with Quote in Progress)</t>
  </si>
  <si>
    <t>New status
Order InProgress
Order Submitted
Quote Submitted ( validate with Quote in Progress)</t>
  </si>
  <si>
    <t>Verify that "Check Validity" button check the quote validity and update the Status in "Quote still valid" column.</t>
  </si>
  <si>
    <t>Quote validity (Yes/No) is updated.</t>
  </si>
  <si>
    <t xml:space="preserve">Existing - SSO
</t>
  </si>
  <si>
    <t>New - MSO</t>
  </si>
  <si>
    <t>Ensure the Check Validity checks the below when clicked and returned Yes once below are matched.
1. Current price and Quote price are matched for the products selected.
2. Stock availability of the products added.
3. Promotions are still valid</t>
  </si>
  <si>
    <t>Quote validity status is updated as Yes</t>
  </si>
  <si>
    <t>Ensure the Check Validity checks the below when clicked and returned No, if any of the below are not matched.
1. Current price and Quote price are matched for the products selected.
2. Stock availability of the products added.
3. Promotions are still valid</t>
  </si>
  <si>
    <t>Quote validity status is updated as No.
Resume button is not enabled.</t>
  </si>
  <si>
    <t>New:
Plan &amp; Modem not available
Plan out of market
Stock availability
Promocode expired
Offer expired
MSP sequence change
(New - eligible to ineligible
Existing - disconnect existing service)</t>
  </si>
  <si>
    <t>New and Existing for below
Plan &amp; Modem not available
Plan out of market
Stock availability
Promocode expired
Offer expired
MSP sequence change
(New - eligible to ineligible
Existing - disconnect existing service)</t>
  </si>
  <si>
    <t>Ensure once the Quote expiry date is Past, the status is updated as Quote Expired for below status.
Quote InProgress
Quote Submitted/Saved
Ensure for below statuses, the quote expiry date shouldn't impact the status.
Order InProgress
Order Submitted
Order Partially Complete
Order Complete</t>
  </si>
  <si>
    <t>Status updated properly</t>
  </si>
  <si>
    <t>Existing for below
Order InProgress
Order Submitted
Quote InProgress
Quote Submitted/Saved</t>
  </si>
  <si>
    <t>New 
Order Partially Complete
Order Complete
Quote InProgress
Quote Submitted/Saved</t>
  </si>
  <si>
    <t>Existing for below
Order Submitted
Order Complete
Quote InProgress
Quote Submitted/Saved</t>
  </si>
  <si>
    <t>Ensure the resume button takes the session to respective fulfilment journey in left over page or the furthest page or landed on required page.
Resume checks the quote validity internally before it takes to respective session.</t>
  </si>
  <si>
    <t>Session resumed only if quote is valid.</t>
  </si>
  <si>
    <t>Existing for below
Order InProgress</t>
  </si>
  <si>
    <t>New
Order InProgress</t>
  </si>
  <si>
    <t>Throws error for not valid.</t>
  </si>
  <si>
    <t>New and Existing for below
Plan &amp; Device not available
Plan out of market
Stock availability
Promocode expired
Offer expired
MSP sequence change
(New - eligible to ineligible
Existing - disconnect existing service)</t>
  </si>
  <si>
    <t>Verify that Resume option taken to furthest page of SFJ, when a SFJ session is returned to SSJ and clicked "Save and Exit" and Quote status is Order InProgress</t>
  </si>
  <si>
    <t>Session resumed only if quote is valid.
Throws error for not valid.</t>
  </si>
  <si>
    <t>Existing:
No change in Quote before save &amp; exit
Change Plan or Device in Quote before save &amp; exit</t>
  </si>
  <si>
    <t>New:
No change in Quote before save &amp; exit
Change Plan or Device in Quote before save &amp; exit</t>
  </si>
  <si>
    <t>Ensure the resume button takes the session to respective sales journey in left over page with entered / purchased details.
Resume checks the quote validity internally before it takes to respective session.</t>
  </si>
  <si>
    <t>Existing for below
Quote InProgress</t>
  </si>
  <si>
    <t>New for below
Quote InProgress</t>
  </si>
  <si>
    <t>Ensure the resume button takes the session to respective fulfilment journey.
Resume checks the quote validity internally before it takes to respective session.</t>
  </si>
  <si>
    <t xml:space="preserve"> Existing for below
Quote Submitted / Saved
(exeuted with Quote In progress status only as Quote submitted status no longer used)</t>
  </si>
  <si>
    <t>New
Quote Submitted / Saved
(exeuted with Quote In progress status only as Quote submitted status no longer used)</t>
  </si>
  <si>
    <t>Verify the Orders table is updated properly with the order details.</t>
  </si>
  <si>
    <t>Order number, Date created of that order, Order type, Status are updated alongwith the Plan names of that services in the order.</t>
  </si>
  <si>
    <t>SSO - New</t>
  </si>
  <si>
    <t>MSO - Existing</t>
  </si>
  <si>
    <t>Verify that the Quote attachment field is loaded with PDF, only for the selected Quote and not for the other quotes.</t>
  </si>
  <si>
    <t>Quote PDF is displayed only for the selected quote which is in below statuses.
Quote Submitted / Saved 
Order InProgress
Order Submitted
Order Partially Complete
Order Complete</t>
  </si>
  <si>
    <t>Verify that the Refresh button, refreshes the order status when clicked and update the status in both Quotes table and Orders table.</t>
  </si>
  <si>
    <t>Verify that the Order number link takes to view the particular order details.</t>
  </si>
  <si>
    <t>Link takes to order summary details.</t>
  </si>
  <si>
    <t>Verify that the alert banner is displayed, when a quote is selected with a service and the same service exists in other quote for which fulfilment is in progress (Order InProgress/Submitted/Error)</t>
  </si>
  <si>
    <t>Order in progress warning alert banner is displayed under Quotes.
Buttons are not enabled.</t>
  </si>
  <si>
    <t>Verify that the alert banner is displayed, when a quote order is successfully submitted.</t>
  </si>
  <si>
    <t>Green alert banner is displayed for order submitted successfully.</t>
  </si>
  <si>
    <t>New
Order submmited w/o 2way SMS</t>
  </si>
  <si>
    <t>Existing for below
Order submitted with 2way SMS</t>
  </si>
  <si>
    <t>SSO/MSO</t>
  </si>
  <si>
    <t>Pre-requisite</t>
  </si>
  <si>
    <t>Condition</t>
  </si>
  <si>
    <t>Available Wholesaler</t>
  </si>
  <si>
    <t>Preferred Wholesaler</t>
  </si>
  <si>
    <t>Override Wholesaler</t>
  </si>
  <si>
    <t>NDC/NCC</t>
  </si>
  <si>
    <t>Appointment Required?</t>
  </si>
  <si>
    <t>Demand Type</t>
  </si>
  <si>
    <t>Service Class</t>
  </si>
  <si>
    <t>Port Status- Copper Pair Status</t>
  </si>
  <si>
    <t>Port Status- NBN Status</t>
  </si>
  <si>
    <t>Enhanced SQ Check</t>
  </si>
  <si>
    <t>Selected Port</t>
  </si>
  <si>
    <t>Transfer Type</t>
  </si>
  <si>
    <t>Fibre Eligible</t>
  </si>
  <si>
    <t>MAS</t>
  </si>
  <si>
    <t>Resource MAS</t>
  </si>
  <si>
    <t>NTD Type</t>
  </si>
  <si>
    <t>NTD Version</t>
  </si>
  <si>
    <t>Total Capacity</t>
  </si>
  <si>
    <t>Remaining ntdbandwidth</t>
  </si>
  <si>
    <t>Plan Filteration</t>
  </si>
  <si>
    <t>MAS Warning</t>
  </si>
  <si>
    <t>Proposition</t>
  </si>
  <si>
    <t>Plan Name</t>
  </si>
  <si>
    <t>Plan Speed</t>
  </si>
  <si>
    <t>eConfig</t>
  </si>
  <si>
    <t>Modem/ BYO</t>
  </si>
  <si>
    <t>Modem Stock Availability</t>
  </si>
  <si>
    <t xml:space="preserve">Accessories </t>
  </si>
  <si>
    <t>Accessories Stock Availability</t>
  </si>
  <si>
    <t>Landing Page</t>
  </si>
  <si>
    <t>Shipment Address</t>
  </si>
  <si>
    <t>Shipment Notification</t>
  </si>
  <si>
    <t>Shipment Preference</t>
  </si>
  <si>
    <t>Validations</t>
  </si>
  <si>
    <t>Testcase Verification</t>
  </si>
  <si>
    <t>Voice SIMO</t>
  </si>
  <si>
    <t>MBB</t>
  </si>
  <si>
    <t>Fixed</t>
  </si>
  <si>
    <t>Quote Created &amp; Resume ?</t>
  </si>
  <si>
    <t>Create order from Quote</t>
  </si>
  <si>
    <t>Coverage Check</t>
  </si>
  <si>
    <t>Quote</t>
  </si>
  <si>
    <t>Fulfillment</t>
  </si>
  <si>
    <t>Post Verification- Siebel</t>
  </si>
  <si>
    <t>Post Verification - Other Systems</t>
  </si>
  <si>
    <t>Invoice</t>
  </si>
  <si>
    <t>Oct_Release_FixedOrders_J5&amp;6_E2E_TOM_001</t>
  </si>
  <si>
    <t>Siebel-Retail</t>
  </si>
  <si>
    <t>SSO</t>
  </si>
  <si>
    <t>N</t>
  </si>
  <si>
    <t>Y</t>
  </si>
  <si>
    <t>Business-Sole Trader - Retrieve only Business Plan Option in Address search</t>
  </si>
  <si>
    <t>FTTP</t>
  </si>
  <si>
    <t>Y -Onceoff</t>
  </si>
  <si>
    <t>Standard install</t>
  </si>
  <si>
    <t>SC2</t>
  </si>
  <si>
    <t>No Ports</t>
  </si>
  <si>
    <t>Not Required</t>
  </si>
  <si>
    <t>No ports</t>
  </si>
  <si>
    <t>Connect Fixed - NBN</t>
  </si>
  <si>
    <t>2000/200</t>
  </si>
  <si>
    <t>Business - Essential nbn
Business - Essential+ nbn
Business - Fast+ nbn
Business - Profast nbn
Business - Ultrafast nbn
Business - Superfast+ nbn
Business - Profast+ nbn
Business - Ultrafast+ nbn</t>
  </si>
  <si>
    <t>Vodafone Business nbn Proposition Jul 2026 </t>
  </si>
  <si>
    <t>Business - Profast nbn</t>
  </si>
  <si>
    <t>500/50</t>
  </si>
  <si>
    <t>Standard (Default) -&gt; enhance 12</t>
  </si>
  <si>
    <t>BYO</t>
  </si>
  <si>
    <t>Customer Details</t>
  </si>
  <si>
    <t>Please refer Testing Considerations as per scenario and parameters</t>
  </si>
  <si>
    <t>1 TC for Coverage Check
1 TC for Quote
1 TC for Fulfilment
1 TC for Post verification - Siebel 
1 TC for Post Verification - Other Systems
1 TC for Invoices</t>
  </si>
  <si>
    <t>Oct_Release_FixedOrders_J5&amp;6_E2E_TOM_002</t>
  </si>
  <si>
    <t>Consumer - Person</t>
  </si>
  <si>
    <t>SC3</t>
  </si>
  <si>
    <t>All (4) Ports free - 1 NTD
D1- Free
D2- Free
D3- Free
D4- Free</t>
  </si>
  <si>
    <t>Free Port</t>
  </si>
  <si>
    <t>Available for New Connect</t>
  </si>
  <si>
    <t>1000/100</t>
  </si>
  <si>
    <t>INTERNAL</t>
  </si>
  <si>
    <t>V1</t>
  </si>
  <si>
    <t>Essential nbn
Essential+ nbn
Home Fast nbn
Home Fast+ nbn 
Home Superfast nbn
Home Ultrafast nbn</t>
  </si>
  <si>
    <t>Vodafone Consumer nbn Proposition Jul 2026 </t>
  </si>
  <si>
    <t>Home Superfast nbn</t>
  </si>
  <si>
    <t>750/50</t>
  </si>
  <si>
    <t>Oct_Release_FixedOrders_J5&amp;6_E2E_TOM_003</t>
  </si>
  <si>
    <t>Yes</t>
  </si>
  <si>
    <t>Business-Sole Trader**</t>
  </si>
  <si>
    <t>NBN, Opticomm</t>
  </si>
  <si>
    <t>Opticomm</t>
  </si>
  <si>
    <t>Yes to NBN</t>
  </si>
  <si>
    <t>All (4)Ports used - 1 NTD
D1- Used
D2- Used
D3- Used
D4- Used</t>
  </si>
  <si>
    <t>Required-Unknown AVC ID**</t>
  </si>
  <si>
    <t>Used port</t>
  </si>
  <si>
    <t>Available for Transfer
Available for Transfer
Available for Transfer
Available for Transfer</t>
  </si>
  <si>
    <t>Belongs to Other</t>
  </si>
  <si>
    <t>Connect Fixed -Connect Outstanding</t>
  </si>
  <si>
    <t>4_PORT</t>
  </si>
  <si>
    <t>V4</t>
  </si>
  <si>
    <t>As per data</t>
  </si>
  <si>
    <t>Home Ultrafast nbn</t>
  </si>
  <si>
    <t>VHA NBN Ad Hoc Discounts :
100% Discount on Fixed Broadband Access Fee. 
VHA NBN Subscription Discounts :
Subscription level X$ discount on nbn Recurring Charges</t>
  </si>
  <si>
    <t>Modem - Arcadyan</t>
  </si>
  <si>
    <t>Instock</t>
  </si>
  <si>
    <t>Oct_Release_FixedOrders_J5&amp;6_E2E_TOM_004</t>
  </si>
  <si>
    <t>Siebel-Care</t>
  </si>
  <si>
    <t>NBN, Vision</t>
  </si>
  <si>
    <t>All (1) Ports used - 1 NTD
D1- Used</t>
  </si>
  <si>
    <t>Required-AVC ID</t>
  </si>
  <si>
    <t>Available for Transfer</t>
  </si>
  <si>
    <t>Belongs to Customer</t>
  </si>
  <si>
    <t>Connect Fixed - Service Transfer</t>
  </si>
  <si>
    <t>1_PORT</t>
  </si>
  <si>
    <t>V3</t>
  </si>
  <si>
    <t>Home Fast+ nbn</t>
  </si>
  <si>
    <t>Oct_Release_FixedOrders_J5&amp;6_E2E_TOM_005</t>
  </si>
  <si>
    <t xml:space="preserve">New </t>
  </si>
  <si>
    <t>Connect Fixed - Internal Loss (Kogan to VF)</t>
  </si>
  <si>
    <t>Oct_Release_FixedOrders_J5&amp;6_E2E_TOM_006</t>
  </si>
  <si>
    <t>Business-Sole Trader</t>
  </si>
  <si>
    <t>All Ports (4) free - 1 NTD
D1- Free
D2- Free
D3- Free
D4- Free</t>
  </si>
  <si>
    <t>Required-Unknown AVC ID</t>
  </si>
  <si>
    <t>Available for New Connect
Available for New Connect
Available for New Connect
Available for New Connect</t>
  </si>
  <si>
    <t>500/50*</t>
  </si>
  <si>
    <t>Business - Essential nbn
Business - Essential+ nbn
Business - Fast+ nbn
Business - Profast nbn
Business - Superfast+ nbn
Business - Profast+ nbn</t>
  </si>
  <si>
    <t>Business - Superfast+ nbn</t>
  </si>
  <si>
    <t>250/100</t>
  </si>
  <si>
    <t>eSLA12 (Default)</t>
  </si>
  <si>
    <t>Arcadyan mesh+ Arcadyan mesh</t>
  </si>
  <si>
    <t>OOS</t>
  </si>
  <si>
    <t>Same as Primary</t>
  </si>
  <si>
    <t>TXT</t>
  </si>
  <si>
    <t>Full</t>
  </si>
  <si>
    <t>Oct_Release_FixedOrders_J5&amp;6_E2E_TOM_007</t>
  </si>
  <si>
    <t xml:space="preserve">All Ports (4) used -1 NTD
D1- Used
D2- Used
D3- Used
D4- Used
</t>
  </si>
  <si>
    <t xml:space="preserve">Available for Transfer
Available for Transfer
Available for Transfer
Available for Transfer
</t>
  </si>
  <si>
    <t>Connect Fixed - Internal Loss (TPG to VF)</t>
  </si>
  <si>
    <t>Business - Ultrafast nbn</t>
  </si>
  <si>
    <t>Standard (Default) -&gt; enhance 4</t>
  </si>
  <si>
    <t>Oct_Release_FixedOrders_J5&amp;6_E2E_TOM_008</t>
  </si>
  <si>
    <t>All Ports(1) used -1 NTD
D1- Used</t>
  </si>
  <si>
    <t>Service Transfer Reversal</t>
  </si>
  <si>
    <t>Connect Fixed - Service Transfer Reversal</t>
  </si>
  <si>
    <t>Business - Ultrafast+ nbn</t>
  </si>
  <si>
    <t>1000/400</t>
  </si>
  <si>
    <t>eSLA 4 (Default)</t>
  </si>
  <si>
    <t>Oct_Release_FixedOrders_J5&amp;6_E2E_TOM_009</t>
  </si>
  <si>
    <t>HFC</t>
  </si>
  <si>
    <t>Y-12m</t>
  </si>
  <si>
    <t>SC21</t>
  </si>
  <si>
    <t xml:space="preserve">Home Fast+ nbn </t>
  </si>
  <si>
    <t>Arcadyan Mesh</t>
  </si>
  <si>
    <t>Oct_Release_FixedOrders_J5&amp;6_E2E_TOM_010</t>
  </si>
  <si>
    <t>Y-24m</t>
  </si>
  <si>
    <t>SC22</t>
  </si>
  <si>
    <t>Essential+ nbn</t>
  </si>
  <si>
    <t>50/20</t>
  </si>
  <si>
    <t>Oct_Release_FixedOrders_J5&amp;6_E2E_TOM_011</t>
  </si>
  <si>
    <t>SC24</t>
  </si>
  <si>
    <t>All Ports(1) Used - 1 NTD
D1- Used</t>
  </si>
  <si>
    <t>750/50*</t>
  </si>
  <si>
    <t>Essential nbn
Essential+ nbn
Home Fast nbn
Home Fast+ nbn 
Home Superfast nbn</t>
  </si>
  <si>
    <t>Oct_Release_FixedOrders_J5&amp;6_E2E_TOM_012</t>
  </si>
  <si>
    <t>Y-36m</t>
  </si>
  <si>
    <t>SC23</t>
  </si>
  <si>
    <t>Business - Profast+ nbn</t>
  </si>
  <si>
    <t>500/200</t>
  </si>
  <si>
    <t>Oct_Release_FixedOrders_J5&amp;6_E2E_TOM_013</t>
  </si>
  <si>
    <t>eSLA12 (Default) -&gt; eSLA 4</t>
  </si>
  <si>
    <t>Oct_Release_FixedOrders_J5&amp;6_E2E_TOM_014</t>
  </si>
  <si>
    <t>All Ports (4) used -1 NTD
D1- Used
D2- Used
D3- Used
D4- Used</t>
  </si>
  <si>
    <t>Connect Fixed - Connect Outstanding</t>
  </si>
  <si>
    <t>Home Fast nbn</t>
  </si>
  <si>
    <t>100/20</t>
  </si>
  <si>
    <t>Oct_Release_FixedOrders_J5&amp;6_E2E_TOM_015</t>
  </si>
  <si>
    <t>Oct_Release_FixedOrders_J5&amp;6_E2E_TOM_016</t>
  </si>
  <si>
    <t>Oct_Release_FixedOrders_J5&amp;6_E2E_TOM_017</t>
  </si>
  <si>
    <t>FTTC</t>
  </si>
  <si>
    <t>SC33</t>
  </si>
  <si>
    <t>Active - 1 CPI
Inactive - 1 CPI</t>
  </si>
  <si>
    <t xml:space="preserve">NA
</t>
  </si>
  <si>
    <t>Required-FNN/ULL</t>
  </si>
  <si>
    <t>Inactive CPI</t>
  </si>
  <si>
    <t>26-44/11-2</t>
  </si>
  <si>
    <t>Business Essential NBN
Business Essential + NBN</t>
  </si>
  <si>
    <t>Business Essential NBN - No Warning Message
Business Essential + NBN - Warning Message</t>
  </si>
  <si>
    <t>Business Essential nbn</t>
  </si>
  <si>
    <t>25/10  </t>
  </si>
  <si>
    <t>standard SLA(Default)</t>
  </si>
  <si>
    <t>Oct_Release_FixedOrders_J5&amp;6_E2E_TOM_018</t>
  </si>
  <si>
    <t>Y-Once Off</t>
  </si>
  <si>
    <t>SC32</t>
  </si>
  <si>
    <t>Active - 1 CPI</t>
  </si>
  <si>
    <t>Active CPI</t>
  </si>
  <si>
    <t>Available for Transition</t>
  </si>
  <si>
    <t>Connect Fixed - Connect Outstanding  Transition</t>
  </si>
  <si>
    <t>Essential NBN
Essential + NBN</t>
  </si>
  <si>
    <t>Essential NBN - No Warning Message
Essential + NBN - Warning Message</t>
  </si>
  <si>
    <t>Oct_Release_FixedOrders_J5&amp;6_E2E_TOM_019</t>
  </si>
  <si>
    <t>Connect Fixed - Service Transition</t>
  </si>
  <si>
    <t xml:space="preserve">VHA NBN Ad Hoc Discounts :
100% Discount on Fixed Broadband Access Fee. 
</t>
  </si>
  <si>
    <t>Oct_Release_FixedOrders_J5&amp;6_E2E_TOM_020</t>
  </si>
  <si>
    <t>Business Sole Trader</t>
  </si>
  <si>
    <t>SC32
SC34</t>
  </si>
  <si>
    <t>Active - 1 CPI
NA</t>
  </si>
  <si>
    <t>NA
Line not in use - 1 CPI</t>
  </si>
  <si>
    <t>Available for Transition
Available for New Connect</t>
  </si>
  <si>
    <t>35-50/11-2</t>
  </si>
  <si>
    <t>standard SLA(Default) -&gt;  Enhance 4</t>
  </si>
  <si>
    <t>Email</t>
  </si>
  <si>
    <t>Oct_Release_FixedOrders_J5&amp;6_E2E_TOM_021</t>
  </si>
  <si>
    <t>SC31</t>
  </si>
  <si>
    <t>No CPI</t>
  </si>
  <si>
    <t>Oct_Release_FixedOrders_J5&amp;6_E2E_TOM_022</t>
  </si>
  <si>
    <t>NA
Line in use - 1 CPI</t>
  </si>
  <si>
    <t>Line in Use CPI</t>
  </si>
  <si>
    <t>Available for Transition
Available for Transfer</t>
  </si>
  <si>
    <t>Oct_Release_FixedOrders_J5&amp;6_E2E_TOM_023</t>
  </si>
  <si>
    <t>SC34
SC34</t>
  </si>
  <si>
    <t>NA
NA</t>
  </si>
  <si>
    <t>Line in use -1 CPI
Line not in use - 1 CPI</t>
  </si>
  <si>
    <t>Available for Transfer
Available for New Connect</t>
  </si>
  <si>
    <t>Oct_Release_FixedOrders_J5&amp;6_E2E_TOM_024</t>
  </si>
  <si>
    <t>64-72/14-20</t>
  </si>
  <si>
    <t>Business Essential NBN
Business Essential + NBN
Business Fast+ NBN</t>
  </si>
  <si>
    <t>Business Essential NBN - No Warning Message
Business Essential + NBN - No Warning Message
Business Fast + NBN- Warning Message</t>
  </si>
  <si>
    <t>Business Fast + NBN</t>
  </si>
  <si>
    <t>100/40</t>
  </si>
  <si>
    <t>eSLA 12( Default) -&gt; Enhance 4</t>
  </si>
  <si>
    <t>Oct_Release_FixedOrders_J5&amp;6_E2E_TOM_025</t>
  </si>
  <si>
    <t>Available for Transfer
Available for New Connect
Available for New Connect</t>
  </si>
  <si>
    <t>Essential NBN
Essential + NBN
Homefast</t>
  </si>
  <si>
    <t>Essential NBN - No Warning Message
Essential + NBN - No Warning Message
HomeFast- Warning Message</t>
  </si>
  <si>
    <t>Essential nbn</t>
  </si>
  <si>
    <t>Oct_Release_FixedOrders_J5&amp;6_E2E_TOM_026</t>
  </si>
  <si>
    <t>Line not in use CPI</t>
  </si>
  <si>
    <t>Connect- Fixed- NBN</t>
  </si>
  <si>
    <t>Business Essential+ nbn</t>
  </si>
  <si>
    <t>Standard SLA (Default)</t>
  </si>
  <si>
    <t>Oct_Release_FixedOrders_J5&amp;6_E2E_TOM_027</t>
  </si>
  <si>
    <t>Default Mas 100/20</t>
  </si>
  <si>
    <t>Essential NBN - No Warning Message
Essential + NBN - No Warning Message
HomeFast- No Warning Message</t>
  </si>
  <si>
    <t>Home Fast nbn </t>
  </si>
  <si>
    <t>Oct_Release_FixedOrders_J5&amp;6_E2E_TOM_028</t>
  </si>
  <si>
    <t>FTTB</t>
  </si>
  <si>
    <t>SC11</t>
  </si>
  <si>
    <t>Oct_Release_FixedOrders_J5&amp;6_E2E_TOM_029</t>
  </si>
  <si>
    <t>Non EU Jumper Only</t>
  </si>
  <si>
    <t>SC12</t>
  </si>
  <si>
    <t>Oct_Release_FixedOrders_J5&amp;6_E2E_TOM_030</t>
  </si>
  <si>
    <t>SC12
SC12</t>
  </si>
  <si>
    <t>VHA for Me – $10 VIP Credit</t>
  </si>
  <si>
    <t>Oct_Release_FixedOrders_J5&amp;6_E2E_TOM_031</t>
  </si>
  <si>
    <t>SC12
SC13</t>
  </si>
  <si>
    <t xml:space="preserve">Connect Fixed - Connect Outstanding  </t>
  </si>
  <si>
    <t>Oct_Release_FixedOrders_J5&amp;6_E2E_TOM_032</t>
  </si>
  <si>
    <t xml:space="preserve">Belongs to Customer </t>
  </si>
  <si>
    <t>Business Fast + nbn</t>
  </si>
  <si>
    <t>eSLA12(Default)</t>
  </si>
  <si>
    <t>Oct_Release_FixedOrders_J5&amp;6_E2E_TOM_033</t>
  </si>
  <si>
    <t>Oct_Release_FixedOrders_J5&amp;6_E2E_TOM_034</t>
  </si>
  <si>
    <t>SC13
SC13</t>
  </si>
  <si>
    <t>Available for Transfer
Available for Transfer</t>
  </si>
  <si>
    <t>Standard SLA (Default) -&gt; Enhance 4</t>
  </si>
  <si>
    <t>Oct_Release_FixedOrders_J5&amp;6_E2E_TOM_035</t>
  </si>
  <si>
    <t>Line not in use - 1 CPI
Line in use - 1 CPI</t>
  </si>
  <si>
    <t>Oct_Release_FixedOrders_J5&amp;6_E2E_TOM_036</t>
  </si>
  <si>
    <t>Oct_Release_FixedOrders_J5&amp;6_E2E_TOM_037</t>
  </si>
  <si>
    <t>FTTN</t>
  </si>
  <si>
    <t>Oct_Release_FixedOrders_J5&amp;6_E2E_TOM_038</t>
  </si>
  <si>
    <t>Standard SLA (Default) -&gt; Enhance 12</t>
  </si>
  <si>
    <t>Oct_Release_FixedOrders_J5&amp;6_E2E_TOM_039</t>
  </si>
  <si>
    <t>Belong to Other</t>
  </si>
  <si>
    <t>Connect Fixed  - Connect Outstanding  Transition</t>
  </si>
  <si>
    <t>Oct_Release_FixedOrders_J5&amp;6_E2E_TOM_040</t>
  </si>
  <si>
    <t xml:space="preserve">Connect Fixed - Connect Outstanding </t>
  </si>
  <si>
    <t>VHA NBN Subscription Discounts :
Subscription level X$ discount on nbn Recurring Charges</t>
  </si>
  <si>
    <t>Oct_Release_FixedOrders_J5&amp;6_E2E_TOM_041</t>
  </si>
  <si>
    <t>Oct_Release_FixedOrders_J5&amp;6_E2E_TOM_042</t>
  </si>
  <si>
    <t xml:space="preserve">Standard SLA (Default) </t>
  </si>
  <si>
    <t>Oct_Release_FixedOrders_J5&amp;6_E2E_TOM_043</t>
  </si>
  <si>
    <t>Oct_Release_FixedOrders_J5&amp;6_E2E_TOM_044</t>
  </si>
  <si>
    <t>Line not in use - 1 CPI
Line in use - 2 CPI</t>
  </si>
  <si>
    <t>Available for New Connect
Available for Transfer</t>
  </si>
  <si>
    <t>Oct_Release_FixedOrders_J5&amp;6_E2E_TOM_045</t>
  </si>
  <si>
    <t>Oct_Release_FixedOrders_J5&amp;6_E2E_TOM_046</t>
  </si>
  <si>
    <t>NBN and Wireless(4G Available)</t>
  </si>
  <si>
    <t>4G FWA</t>
  </si>
  <si>
    <t>Connect FWA</t>
  </si>
  <si>
    <t>4G FWA plan available</t>
  </si>
  <si>
    <t>4G  FWA Proposition</t>
  </si>
  <si>
    <t>4G Plan</t>
  </si>
  <si>
    <t>14/2</t>
  </si>
  <si>
    <t>Modem -TP Link</t>
  </si>
  <si>
    <t>Oct_Release_FixedOrders_J5&amp;6_E2E_TOM_047</t>
  </si>
  <si>
    <t>Wireless(4G and 5G Available)</t>
  </si>
  <si>
    <t>5G FWA</t>
  </si>
  <si>
    <t>4G FWA and 5G FWA plans available</t>
  </si>
  <si>
    <t>5G FWA Proposition</t>
  </si>
  <si>
    <t>5G Plan Basic</t>
  </si>
  <si>
    <t>19/2</t>
  </si>
  <si>
    <t>Out of Stock</t>
  </si>
  <si>
    <t>Oct_Release_FixedOrders_J5&amp;6_E2E_TOM_048</t>
  </si>
  <si>
    <t>Vision and Wireless(4G Available)</t>
  </si>
  <si>
    <t>Oct_Release_FixedOrders_J5&amp;6_E2E_TOM_049</t>
  </si>
  <si>
    <t>Wireless(4G abailable and  5G  Not availableAvailable)</t>
  </si>
  <si>
    <t xml:space="preserve">5G FWA ** </t>
  </si>
  <si>
    <t>Override Coverage Check</t>
  </si>
  <si>
    <t>5G Plan Premium</t>
  </si>
  <si>
    <t>100/18</t>
  </si>
  <si>
    <t>Oct_Release_FixedOrders_J5&amp;6_E2E_TOM_050</t>
  </si>
  <si>
    <t>Oct_Release_FixedOrders_J5&amp;6_E2E_TOM_051</t>
  </si>
  <si>
    <t>5G Plan Plus</t>
  </si>
  <si>
    <t>50/16</t>
  </si>
  <si>
    <t>Oct_Release_FixedOrders_J5&amp;6_E2E_TOM_052</t>
  </si>
  <si>
    <t>FTTBW-FTTB-VDSL-gfast</t>
  </si>
  <si>
    <t>Connect Fixed - Vision</t>
  </si>
  <si>
    <t>1000/50</t>
  </si>
  <si>
    <t>Vision Unlimited25 - 25/4
Vision 50 plan  - 50/20
Vision 100 plan - 100/25
Vision Max - 500/25</t>
  </si>
  <si>
    <t>Vodafone Vision Proposition Apr 2025</t>
  </si>
  <si>
    <t>Vision Max</t>
  </si>
  <si>
    <t>500/25</t>
  </si>
  <si>
    <t>Oct_Release_FixedOrders_J5&amp;6_E2E_TOM_053</t>
  </si>
  <si>
    <t>TRANSACT-FTTN-VDSL-gfast</t>
  </si>
  <si>
    <t>Vision 100</t>
  </si>
  <si>
    <t>100/25</t>
  </si>
  <si>
    <t>Oct_Release_FixedOrders_J5&amp;6_E2E_TOM_054</t>
  </si>
  <si>
    <t>FTTBW-FTTH-Non gfast</t>
  </si>
  <si>
    <t xml:space="preserve">Vision Unlimited25 - 25/4
Vision 50 plan  - 50/20
Vision 100 plan - 100/25
</t>
  </si>
  <si>
    <t xml:space="preserve">Vision Unlimited25 </t>
  </si>
  <si>
    <t>25/4</t>
  </si>
  <si>
    <t>Oct_Release_FixedOrders_J5&amp;6_E2E_TOM_055</t>
  </si>
  <si>
    <t>TRANSACT-HFC</t>
  </si>
  <si>
    <t>Vision 100 staff plan
Vision Max Staff Plan</t>
  </si>
  <si>
    <t>Vodafone Vision Staff Proposition Jan 2026</t>
  </si>
  <si>
    <t>Vision 100 Staff Plan</t>
  </si>
  <si>
    <t>Oct_Release_FixedOrders_J5&amp;6_E2E_TOM_056</t>
  </si>
  <si>
    <t>Vision, NBN</t>
  </si>
  <si>
    <t>FTTBW-FTTB-VDSL-Non gfast</t>
  </si>
  <si>
    <t>Yes to Vision</t>
  </si>
  <si>
    <t>Vision 50</t>
  </si>
  <si>
    <t>Oct_Release_FixedOrders_J5&amp;6_E2E_TOM_057</t>
  </si>
  <si>
    <t>TRANSACT-FTTN-VDSL-Non gfast</t>
  </si>
  <si>
    <t>VHA Staff Credit - $10 Staff credit</t>
  </si>
  <si>
    <t>Oct_Release_FixedOrders_J5&amp;6_E2E_TOM_058</t>
  </si>
  <si>
    <t>Y -NDC Onceoff</t>
  </si>
  <si>
    <t>Connect Fixed - Opticomm</t>
  </si>
  <si>
    <t>Opticomm 12 
Opticomm 25
Opticomm 50
Opticomm 100</t>
  </si>
  <si>
    <t>Vodafone Opticomm Proposition Feb 2026</t>
  </si>
  <si>
    <t>Opticomm 12</t>
  </si>
  <si>
    <t>12/1</t>
  </si>
  <si>
    <t>Oct_Release_FixedOrders_J5&amp;6_E2E_TOM_059</t>
  </si>
  <si>
    <t>Free</t>
  </si>
  <si>
    <t>250/25</t>
  </si>
  <si>
    <t>Opticomm 25</t>
  </si>
  <si>
    <t>25/10</t>
  </si>
  <si>
    <t>Oct_Release_FixedOrders_J5&amp;6_E2E_TOM_060</t>
  </si>
  <si>
    <t>Used</t>
  </si>
  <si>
    <t>Required</t>
  </si>
  <si>
    <t>Opticomm 12 
Opticomm 25
Opticomm 50
Opticomm 100
Opticomm 500</t>
  </si>
  <si>
    <t>Opticomm 50</t>
  </si>
  <si>
    <t>OOC</t>
  </si>
  <si>
    <t>Oct_Release_FixedOrders_J5&amp;6_E2E_TOM_061</t>
  </si>
  <si>
    <t>Connect Fixed -Internal Loss (Legacy iiNET to VF(iiNet to VHA)</t>
  </si>
  <si>
    <t>Opticomm 100 staff plan
Opticomm 500 staff plan
Opticomm 750 staff plan
Opticomm 1000 staff plan</t>
  </si>
  <si>
    <t xml:space="preserve">Stay Connected Staff Opticomm Proposition Jan 2026 </t>
  </si>
  <si>
    <t>Opticomm 500 Staff Plan</t>
  </si>
  <si>
    <t>Oct_Release_FixedOrders_J5&amp;6_E2E_TOM_062</t>
  </si>
  <si>
    <t>Connect Fixed -Internal Loss (VHA to iiNet)</t>
  </si>
  <si>
    <t>Opticomm 100</t>
  </si>
  <si>
    <t>Oct_Release_FixedOrders_J5&amp;6_E2E_TOM_063</t>
  </si>
  <si>
    <t>Vision, NBN, Opticomm</t>
  </si>
  <si>
    <t>Yes to Opticomm</t>
  </si>
  <si>
    <t>SC5</t>
  </si>
  <si>
    <t>Opticomm 12 
Opticomm 25
Opticomm 50
Opticomm 100
Opticomm 500
Opticomm 750
Opticomm 1000</t>
  </si>
  <si>
    <t>Opticomm 750</t>
  </si>
  <si>
    <t>Oct_Release_FixedOrders_J5&amp;6_E2E_TOM_064</t>
  </si>
  <si>
    <t>Y-NCC- 12m</t>
  </si>
  <si>
    <t>Opticomm 1000 Staff Plan</t>
  </si>
  <si>
    <t>VHA Staff Credit - $20 Staff credit</t>
  </si>
  <si>
    <t>Oct_Release_FixedOrders_J5&amp;6_E2E_TOM_065</t>
  </si>
  <si>
    <t>FTTBW-gfast</t>
  </si>
  <si>
    <t xml:space="preserve">Validate 'Fixed Wholesaler Technology'  as per OneSQ response  in Quote Coverage Check
</t>
  </si>
  <si>
    <t>Proposition Page</t>
  </si>
  <si>
    <t>MSO</t>
  </si>
  <si>
    <t>SSJ Coverage Check Journey</t>
  </si>
  <si>
    <t>SSJ PLP Journey</t>
  </si>
  <si>
    <t>S.No</t>
  </si>
  <si>
    <t>Review Comments</t>
  </si>
  <si>
    <t>Provided By</t>
  </si>
  <si>
    <t>Provided On</t>
  </si>
  <si>
    <t>Testign Comments</t>
  </si>
  <si>
    <t>Status</t>
  </si>
  <si>
    <t>Action Owner</t>
  </si>
  <si>
    <t>Expected Version</t>
  </si>
  <si>
    <t>Split The port status as per Copper Pair Status and NBnType and Transfer type column</t>
  </si>
  <si>
    <t>Praveen M</t>
  </si>
  <si>
    <t>20th Aug</t>
  </si>
  <si>
    <t>Updated in column 'S' , 'T", 'U", 'V' &amp; 'W'</t>
  </si>
  <si>
    <t>Closed</t>
  </si>
  <si>
    <t>Testing Team</t>
  </si>
  <si>
    <t>v0.6</t>
  </si>
  <si>
    <t>Business Cx can purchase Consumer Plans as well for NBN/Vision/Opticomm/FWA</t>
  </si>
  <si>
    <t>Gopala</t>
  </si>
  <si>
    <t>Updated in one Tom for Fibre and one TOM for Copper</t>
  </si>
  <si>
    <t>v0.7</t>
  </si>
  <si>
    <t xml:space="preserve">Retreive only Business Plan Option as validation - NBN </t>
  </si>
  <si>
    <t>FTTC- Service Transfer and Connect outstanding Transfer to be added</t>
  </si>
  <si>
    <t>Revised Copper related scenarios to cover all combination</t>
  </si>
  <si>
    <t>NDC Available for copper Technology?</t>
  </si>
  <si>
    <t>Praveen confirmed Yes, Added NDC for all three copper technologies</t>
  </si>
  <si>
    <t>Static IP and eSLA Verifications</t>
  </si>
  <si>
    <t>eSLA added in E2E TOM and Both Static IP and eSLA are added in verification points</t>
  </si>
  <si>
    <t xml:space="preserve">Fixed+ Fixed- ASD?
ASD- Plan eligible + Plan not eligible for both mble &amp; nbn
ASD Trigger Points - Order type and Order Function , Plan trypes and Other triggers + All applicable offers (?) + Vision Offer due to new onboarding ( $/%/X month free?) + All current production fixed offers (to be collected) + Mesh (Buy one get one- HAT CAT offers) + ??  -&gt; Two separate framework for Quote and Fulfillment- Interim , Fulfillment will be removed ltr, So validate it in both Quote and Fulfillmemt as well
Where ASD discounts displayes in Cart under which service- Add it in valiation
Ex Fixed  purchasing Mble- add scenario if build is not avble, defer
</t>
  </si>
  <si>
    <t>Praveen M, Gopala and Gauri</t>
  </si>
  <si>
    <t>To be covered in 'Fixed - Offers' Module</t>
  </si>
  <si>
    <t>Open</t>
  </si>
  <si>
    <t>v0.10+</t>
  </si>
  <si>
    <t>MOCN Toggle and Testing</t>
  </si>
  <si>
    <t>Gauri</t>
  </si>
  <si>
    <t>Praveen confirmed that Both Siebel and OneSQ ON and OFF 4 combination with E2E . To be added in 'Miscellaneous Module'</t>
  </si>
  <si>
    <t>v0.9+</t>
  </si>
  <si>
    <t>Best Site - Verification for FWA</t>
  </si>
  <si>
    <t>Updated in FWA Verifications</t>
  </si>
  <si>
    <t xml:space="preserve">Please note: There will be fixed scenarios where we might have to go back to cart to change/ update plans based on port/ line selected during fulfilment. I am assuming these will be covered in the Fixed TOM. </t>
  </si>
  <si>
    <t>To be updated in 'Miscellaneous ' Module</t>
  </si>
  <si>
    <t>Speed Booster - p2 -Separate TOM</t>
  </si>
  <si>
    <t>To be actioned later as P2 as Separate TOM</t>
  </si>
  <si>
    <t>v0.8</t>
  </si>
  <si>
    <t>Compare XMLs with BAU TBUI Order for each one order type
Invoice with AVC ID details
Order line items</t>
  </si>
  <si>
    <t>Updated in Validations</t>
  </si>
  <si>
    <t>Retreive only Business Plan Option as validation - NBN - Regarding SQ verification asw ell</t>
  </si>
  <si>
    <t>Validation point is updated</t>
  </si>
  <si>
    <t>Multiple NTD details inSSJ - Is it in Drop 3 or Out of Oct release?</t>
  </si>
  <si>
    <t xml:space="preserve">Atul confirmed that its out of release, so updated scenarios with Single NTD details on TOM_06 to  08 and 13 to 16
</t>
  </si>
  <si>
    <t>Re Trigger of SQ with FWASQID for FWA - Is it  in Fulfillment &amp; Quote?If its expired, how to retrigger and from whre?</t>
  </si>
  <si>
    <t>Suresh kopakka 's response:
1.In the Quote Coverage page, the OneSQ API will be invoked using the selected address. The API response will return the SQ info, Mobile and FWA section FWASQID.
2.Once the FWA order is successfully created, the MOCN API should be called using the FWASQID and Network details to retrieve the Best Site information.
3.After the order creation, the generated Order ID must be copied and stored in the corresponding Coverage record.
4.If the Quote expires after 7 days, the corresponding Coverage record will still contain the Order ID reference.
Using this Order ID, the Best Site information can be linked and displayed under Asset → FWA Details tab for future reference.(BAU).
Testing team :
We have updated verifications as per above mail</t>
  </si>
  <si>
    <t>While resuming Quote after coverage changes, retrigger SQ is happening or not and  any warning in Quote to inform User?</t>
  </si>
  <si>
    <t>Suresh confirmed that we are not having this functionality to Gopala</t>
  </si>
  <si>
    <t>Appointment- 4 types in miscellaneous section (cancel/rescheduling) for both NBN and Opticomm and rules on Appointment Status</t>
  </si>
  <si>
    <t>Amend Order from TBUI</t>
  </si>
  <si>
    <t>Vision- Pure Gfast - Check with Nithya  (package IDs are different for each technology)</t>
  </si>
  <si>
    <t xml:space="preserve">Updated TOM_065 for this </t>
  </si>
  <si>
    <t>Installation Notes - when Mandatory , because NBN rejects</t>
  </si>
  <si>
    <t>Updated in Testing considerations</t>
  </si>
  <si>
    <t>Demand Type - Only for HFC- New Column</t>
  </si>
  <si>
    <t>Updated column 'T' for demand type as per technology and appointment</t>
  </si>
  <si>
    <t>V0.8</t>
  </si>
  <si>
    <t>Check once for NCC for opticomm in scenarios?</t>
  </si>
  <si>
    <t>Updated in Opticomm Scenarios TOM_58 &amp; 64</t>
  </si>
  <si>
    <t>Testcase Steps</t>
  </si>
  <si>
    <t>Clarifications/Open Items</t>
  </si>
  <si>
    <t>Connect NBN - New/Additional Connect - Copper</t>
  </si>
  <si>
    <t>Connect NBN - New/Additional Connect - Fibre</t>
  </si>
  <si>
    <t xml:space="preserve">Connect NBN- Service Transfer- Copper </t>
  </si>
  <si>
    <t xml:space="preserve">Connect NBN- Service Transfer- Fibre </t>
  </si>
  <si>
    <t xml:space="preserve">Connect NBN- Connect Outstanding- Copper </t>
  </si>
  <si>
    <t xml:space="preserve">Connect NBN- Connect Outstanding- Fibre </t>
  </si>
  <si>
    <t>Connect NBN - Internal loss (within VF stack - e.g Kogan to VF) - Copper</t>
  </si>
  <si>
    <t>Connect NBN - Internal loss (within VF stack - e.g Kogan to VF) - Fibre</t>
  </si>
  <si>
    <t>Connect NBN - Internal loss (Legacy to VF stack - e.g TPG to VF)-  Copper</t>
  </si>
  <si>
    <t>Connect NBN - Internal loss (Legacy to VF stack - e.g TPG to VF)- Fibre</t>
  </si>
  <si>
    <t>Connect NBN - Service Transfer Reversal- Copper</t>
  </si>
  <si>
    <t>Connect NBN - Service Transfer Reversal-  Fibre</t>
  </si>
  <si>
    <t>Connect Vision - Vision Gfast TRANSACT</t>
  </si>
  <si>
    <t>Connect Vision - FTTBW Gfast</t>
  </si>
  <si>
    <t xml:space="preserve">Connect Opticomm </t>
  </si>
  <si>
    <t>Connect Opticomm - Service Transfer</t>
  </si>
  <si>
    <t>Connect Opticomm - Internal Loss (Legacy iiNET to VF(iiNet to VHA)</t>
  </si>
  <si>
    <t>Connect Opticomm - Internal Loss (VHA to iiNet)</t>
  </si>
  <si>
    <t xml:space="preserve">Validate 'Retrieve NBN Business plan only ' check box functionality in Quote address Search
</t>
  </si>
  <si>
    <t>Good</t>
  </si>
  <si>
    <t xml:space="preserve">Retrieve NBN Business plan only   - 
New customer : Validate the User/agent allowed to enable the checkbox first before the address search for NBN Business Customers to dsiplay only NBN business plan under Fixed PLP page. Validate that One SQ should be triggered with only NBN 
For consumer customer user should not enable the checkbox 
Existing customer : Validate that 'Retrieve NBN Business plan only' check box should be hidden for the consumer customer and available for business customer.
</t>
  </si>
  <si>
    <t>Not Applicable ; User should not enable the check box</t>
  </si>
  <si>
    <t xml:space="preserve">Validate 'Address Search' and One SQ request  in Quote address Search
</t>
  </si>
  <si>
    <t xml:space="preserve">Address serach can be performed in below method as per scenario
 1. PSMA Search
 2. Manual address
 3. Location ID (only applicable for NBN)
 4. Address with Multiple Location IDs
One SQ should be triggered as below as per address search method
1. PSMA Search -  SQ will trigger to get response from all , NBN, Vision, Opticomm, Mapshed
2. Manual Address:  SQ will trigger to get response from all , NBN, Vision, Opticomm, Mapshed
3. Location ID - SQ will trigger with network specific - NBN' to get response from only NBN
4.Address with  Multiple Location ID - Two SQ should happen; 
4a.First one - SQ will trigger to get response from all , NBN, Vision, Opticomm, Mapshed ;
4b. Second One - SQ will trigger with netwoprk specific NBN with the selected location ID </t>
  </si>
  <si>
    <t xml:space="preserve">Address serach can be performed in below method as per scenario
 1. PSMA Search
 2. Manual address
One SQ should be triggered as below as per address search method
1. PSMA Search -  SQ will trigger to get response from all , NBN, Vision, Opticomm, Mapshed
2. Manual Address:  SQ will trigger to get response from all , NBN, Vision, Opticomm, Mapshed
</t>
  </si>
  <si>
    <t xml:space="preserve">Validate 'Mobile Coverage'  as per OneSQ response  in Quote Coverage Check
</t>
  </si>
  <si>
    <t>a. Mobile coverage result as per OneSQ response														
	4G -Available/Not available											
	5G-Outdoor only/In door											
	5G NSA-Available/Not Available</t>
  </si>
  <si>
    <t xml:space="preserve">Validate 'Fixed Wholesaler Coverage'  as per OneSQ response  in Quote Coverage Check
</t>
  </si>
  <si>
    <t>b. Fixed line availability status 											
	 Availability: as per OneSQ Response (Eg: NBN-Available with green icon  ; Vision-Not Available with Red icon; Opticomm -Not Available with Red icon 											
	Preferred Wholesaler:  As per the priority set in One SQ - Current Priority is Opticomm, NBN , Vision (Eg: Preferred wholesaler - Opticomm )
* If more than one wholesaler available in the location , then select wholesaler dropdown button should be available with available wholesaler list(based on preferred wholesaler) if user has the resposibility to override wholesaler. If user doesn't have the responsibility, Override wholesaler button should not be available even though multiple wholesaler are available</t>
  </si>
  <si>
    <t>NBN details as per One SQ Response										
		Internet Location Id LOCXXXXXXXXXXXX(Ex: LOC740100003843 )										
		Service Class X										
		Technology Type XXXX										
		New Development (True from One SQ, Then display " $300 Development charge for first time connection"; False from oneSQ, then display blank )		Max Attainable Speed XXXXXX										
		Fiber Upgrade Not Available/Available</t>
  </si>
  <si>
    <t>NBN details as per OneSQ Response											
		Internet Location Id LOCXXXXXXXXXXXX(Ex: LOC740100003843 )										
		Service Class X										
		Technology Type XXXX										
		New Development (True from One SQ, Then display " $300 Development charge for first time connection" , False from oneSQ, then display blank )			Max Attainable Speed XXXXXX										
		Fiber Upgrade Not Available/Available	
NTD Details	( Should be available only if Technology is FTTP/HFC, If its copper technology, this should not be available)											
		No of active service XX  (Eg: 1 out of 4 )										
		Total capacity  XXX Mbps										
		In use   XXX Mbps										
		Remaining XXX Mbps (Siebel should display remaining bandwidth value by calculating Total capacity - In Use)</t>
  </si>
  <si>
    <t>NBN details												
		Internet Location Id LOCXXXXXXXXXXXX(Ex: LOC740100003843 )										
		Service Class X										
		Technology Type XXXX										
		New Development (True from One SQ, Then display " $300 Development charge for first time connection" , False from oneSQ, then display blank )				Max Attainable Speed XXXXXX										
		Fiber Upgrade Not Available/Available</t>
  </si>
  <si>
    <t>As per the wholesaler availability</t>
  </si>
  <si>
    <t xml:space="preserve">Validate 'Fixed Wireless Coverage '  as per OneSQ response  in Quote Coverage Check
</t>
  </si>
  <si>
    <t xml:space="preserve">c. Fixed Wireless availability status as per OneSQ response												
	4G -Not available with  red icon/available with green icon											
	5G NSA -Not available with  red icon/available with green icon
If either any one of the FWA or both FWA coverage are not available,  'Override Coverage Check' button should be visible along with the field for 'FWA override user ID - ' Otherwise it shouldn't be visible.
On clicking the button, both 4G FWA and 5G FWA proposition should be displayed in the next PLP page
* If User has responsibility to override FWA Coverage function,. Button should not be visible for user who doesn't have coverage. </t>
  </si>
  <si>
    <t>Validate 'Add PLP Page Navigation' after coverage check  in Quote</t>
  </si>
  <si>
    <t>•   Validate that Add PLP page with 'mobile' tab  is the default page after click the 'Next' button in coverage check page. To perform sceanrio for fixed service, user should manually navigates to the Fixed Tab</t>
  </si>
  <si>
    <t xml:space="preserve">Validate 'Coverage Details' and One SQ request  in Quote Add PLP Page
</t>
  </si>
  <si>
    <t>•   Validate that coverage check result should be displayed under Coverage check section in Fixed PLP page 
•    Option to change address should be available
•    OneSQ request should be triggered in the backend and coverage results should be displayed same as previous coverage check page along with preferred wholesaler, override wholesaler button and overrider coverage check button</t>
  </si>
  <si>
    <t xml:space="preserve">Validate 'Product sections ' available in Quote Add PLP Page
</t>
  </si>
  <si>
    <t xml:space="preserve">•   Validate below there tabs are available
  1. Fixed plan &amp; devices
  2. Accessories
  3. Other devices
</t>
  </si>
  <si>
    <t xml:space="preserve">Validate 'Proposition filteration'  logic in Quote Add PLP Page
</t>
  </si>
  <si>
    <t xml:space="preserve">•   Validate that  fixed proposition should be available in proposition drop down as per the preferred wholesaler and FWA coverage under Fixed plans &amp; devices tab.
1. If the Retrieve NBN Business Plan checkbox is enabled in previous coverage check page then only the Business proposition &amp; plans should get displayed in PLP Page
2. Proposition specific to the preferred wholesaler should be available to search
3. If override coverage check button is clicked , both 4G and 5G FWA proposition should be available even though there is no coverage 
4. If  override coverage check button is not clicked , Onlt  4G / 5G FWA /both proposition should be available as per coverage availability
</t>
  </si>
  <si>
    <t xml:space="preserve">Validate 'Plan filteration'  logic in Quote Add PLP Page
</t>
  </si>
  <si>
    <t xml:space="preserve">•   Validate that plan should be filtered /displayed based on the wholesaler, proposition ,technology type and MAS value.
1. NBN Copper ( FTTC/FTTN/FTTB) - Plan should be filtered as per estimated MAS along with warning message in plan tiles as per logic 
1a.  As per MAS, plan display and selection should be allowed until one speed tier above highest value of the estimated download speed range
</t>
  </si>
  <si>
    <t xml:space="preserve">•   Validate that plan should be filtered /displayed based on the wholesaler, proposition ,technology type and MAS value.
1. NBN Fibre and HFC  - Plan should be filtered as per MAS </t>
  </si>
  <si>
    <t xml:space="preserve">•   Validate that plan should be filtered /displayed based on the wholesaler, proposition ,technology type and MAS value.
1. Vision  - Plan should be filtered as per MAS </t>
  </si>
  <si>
    <t xml:space="preserve">•   Validate that plan should be filtered /displayed based on the wholesaler, proposition ,technology type and MAS value.
1. Opticomm  - Plan should be filtered as per MAS </t>
  </si>
  <si>
    <t>•   Validate that plan should be filtered /displayed based on the Coverage Availability or 'Override coverage check' button
1a. If override coverage check button is clicked , both 4G and 5G FWA plans should be available even though there is no coverage 
1b. If  override coverage check button is not clicked , Only  4G / 5G FWA /both plans should be available as per coverage availability</t>
  </si>
  <si>
    <t xml:space="preserve">Validate 'Estimated MAS Warning'  logic in Quote Add PLP Page
</t>
  </si>
  <si>
    <t>•   Validate that plan should be filtered /displayed based on the wholesaler, proposition ,technology type and MAS value.
Warning message: "Discuss possible speed limitations and impacts due to max attainable range "  with Amber warning icon
1. NBN Copper ( FTTC/FTTN/FTTB) - Plan should be filtered as per estimated MAS along with warning message in plan tiles as per logic 
1a.  As per MAS, plan display and selection should be allowed until one speed tier above highest value of the estimated download speed range
1b. If the plan speed is less than the lowest value of the estimated download speed range, no warning message should be displayed in plan tile
1c. If the plan speed is between the range/above than the highest value of the estimated download speed range, warning message should be displayed in plan tile</t>
  </si>
  <si>
    <t>•   Validate that estimated Mas warning messgae should not displayed for this technology</t>
  </si>
  <si>
    <t>Validate 'Show Current Plan' toggle in Plan section</t>
  </si>
  <si>
    <t xml:space="preserve">•   Validate that Toggle for 'Show Current Plan'  should not be available for new connect </t>
  </si>
  <si>
    <t>Validate 'Check Delivery estimate'  in modem Section</t>
  </si>
  <si>
    <t>•   Validate that Check delivery estimate is optional. Agent can search suburb or post code to find the matching list of suburbs shown as inline list. Once a suburb is selected, system will show the combination of suburb state and postcode.
•  Validate that  Once a suburb is selected, system should trigger the API: VHAGetEstimatedDates by passing the three/active devices shown in the UI to get the stock status and the estimated delivery date.
•  Validate that coverage check check box should be enabled when coverage check result / address is available in the session,
Agent can select this check box, which will pre-populate the suburb state and postcode in the check delivery estimate field and trigger the API: VHAGetEstimatedDates  by passing the three/active devices shown in the UI to get the stock status and the estimated delivery date
•  Based on the ERP API responses, Instock, Out of Stock, back- Order, low stock lozenge should be displayed</t>
  </si>
  <si>
    <t>Validate Modem Filteration  in modem Section</t>
  </si>
  <si>
    <t>•   Validate that Only the compatible modems respective to the wholesaler technology should be available to search /select
•   Validate that ' Sort by' option is working as per selection</t>
  </si>
  <si>
    <t xml:space="preserve">Validate ' Show current Modem' toggle functionality in Modem Section </t>
  </si>
  <si>
    <t xml:space="preserve">•   Validate that Toggle for 'Show Current Modem'  should not be available for new connect </t>
  </si>
  <si>
    <t>Validate 'Check Delivery estimate'  in Accessories Section</t>
  </si>
  <si>
    <t>Validate Accessories Filteration  in Accessories Section</t>
  </si>
  <si>
    <t>•   Validate that Accessories are displayed as per the Vendor /Brand option selected
•   Validate that ' Sort by' option is working as per selection</t>
  </si>
  <si>
    <t>Validate 'Show Current APPs' toggle in Plan section</t>
  </si>
  <si>
    <t xml:space="preserve">•   Validate that Toggle for 'Show Current APPs'  should not be available for new connect </t>
  </si>
  <si>
    <t>Validate 'Check Delivery estimate'  in 'Other devices' Section</t>
  </si>
  <si>
    <t>Validate 'Other devices' Filteration  in Other devices Section</t>
  </si>
  <si>
    <t>•   Validate that 'Show fixed devices' checkbox is enabled by default to display Arcadyan Mesh secondary devices
•  Validate that unchecking the ' Show fixed devices' checkbox should enable user to select other devices as well other than Mesh
•   Validate that ' Sort by' option is working as per selection</t>
  </si>
  <si>
    <t>•   Validate that 'Show fixed devices' checkbox is enabled by default . But Arcadyan mesh should not be displayed for Vision 
•  Validate that unchecking the ' Show fixed devices' checkbox should enable user to select other devices as well other than Mesh
•   Validate that ' Sort by' option is working as per selection</t>
  </si>
  <si>
    <t>•   Validate that 'Show fixed devices' checkbox is enabled by default . But Arcadyan mesh should not be displayed for FWA 
•  Validate that unchecking the ' Show fixed devices' checkbox should enable user to select other devices as well other than Mesh
•   Validate that ' Sort by' option is working as per selection</t>
  </si>
  <si>
    <t>Validate 'Show Current Devices' toggle in Plan section</t>
  </si>
  <si>
    <t xml:space="preserve">•   Validate that Toggle for 'Show Current Devices'  should not be available for new connect </t>
  </si>
  <si>
    <t>Validate 'Quote Details'/' Customer Details'   in Quote Cart section</t>
  </si>
  <si>
    <t>•   Validate that 'Quote Details' /'Customer details' section is collapsed by default
•   Validate that 'Quote Details' section is prepopulated with below details for New Customer
1a. Name: FirstName LastName
1b. Quote number: XXXXXXXXXXXXXX
•   Validate that 'Customer Details' section is prepopulated with below details for Existing Customer
1a. Name: FirstName LastName
1b. Active Services : XX
1c. Approved Services : XXX
1d. Equipment Limit Remaining : $ X,XXX
1e. Credit CHeck Status: Approved (as per status)</t>
  </si>
  <si>
    <t>Validate Plan selection and Add to cart in Quote Add PLP page</t>
  </si>
  <si>
    <t xml:space="preserve">•   Validate that 'New Services' section is collapsed by default
•   Validate that 'No new services added' text displayed if no plan is added to cart 
•   Validate that Agent should be allowed to add only one fixed plan to cart and add to cart by clicking 'Add to cart' button
•   Validate that Plan name with rate $XX.XX should be displayed along with proposition name
</t>
  </si>
  <si>
    <t>Validate Modem selection and Add to cart in Quote Add PLP page</t>
  </si>
  <si>
    <t>•   Validate that Agent should be allowed to add only one Modem to Cart and add to cart by clicking 'Add to cart' button
•  Validate that Modem name with rate $XX.XX should be displayed next to Plan in Cart</t>
  </si>
  <si>
    <t>Validate option to add NDC charge in Cart in Quote Add PLP page</t>
  </si>
  <si>
    <t xml:space="preserve">•  Validate that popup should display with new development charges and payment option after click the 'Add to cart' button for order with development charges
Payment option - Add full month to next bill and pay as term radio button and agent should allowed to select any option
terms drop down should be available with 12 ,24 and 36 months. 
•  Validate that 'New Development Charge' should be displayed with charge $XX.XX next to Modem in Cart </t>
  </si>
  <si>
    <t>•  Validate that popup for new development charges should not be displayed for Vision Technology while clicking 'Add to cart' button</t>
  </si>
  <si>
    <t>•  Validate that popup for new development charges should not be displayed for FWA Technology while clicking 'Add to cart' button</t>
  </si>
  <si>
    <t>Validate Accessories selection and Add to cart in Quote Add PLP page</t>
  </si>
  <si>
    <t>•   Validate that Agent should be allowed to add multiple accessories to Cart and add to cart by clicking 'Add to cart' button
•  Validate that Accessory name with rate $XX.XX should be displayed next to Modem in Cart
•  Validate that if multiple accessories are added, all the added items hsould be listed in order along with rate $XX.XX</t>
  </si>
  <si>
    <t>Validate Other devices selection and Add to cart in Quote Add PLP page</t>
  </si>
  <si>
    <t>•   Validate that Agent should be allowed to add multiple Mesh/Other devices  to Cart and add to cart by clicking 'Add to cart' button
•  Validate that Devices name with rate $XX.XX should be displayed next to Modem in Cart
•  Validate that if multiple Devcies are added, all the added items hsould be listed in order along with rate $XX.XX</t>
  </si>
  <si>
    <t>Validate button available under each services in Quote Cart section</t>
  </si>
  <si>
    <t>•   Validate that below button should be available in Cart section for new services
1. Edit with dropdown option
1a.Configure service – should allow configuration of the selected service.
1b.Apply promocode – should allow entering and applying a valid promo code. Once promo code is successfully applied, 'Remove Promo code' option should be displayed under' Edit' menu.
1c.Remove service – should remove the selected service from the list.
1d. Manage payment Plan- Should provide option to edit the NDC term</t>
  </si>
  <si>
    <t>Validate Configure Service functionality in Edit drop down in each services available in cart</t>
  </si>
  <si>
    <t>•  Validate that ESLA addition/modifictaion under the E-configurator Page(configure service under edit button) 
            a. Default ESLA should get retrieved with amount as per Business Plan
             b. Respective ESLA Options should get displayed with amount for respective plan selected
             c. ESLA amount get changed if there was any changes with ESLA
            d. Agent/User allowed to add/modify ESLA under e-config and selected ESLA  should be updated in cart and purchase &amp; offers details page.
            e. Agent/User allowed to add discounts/credits under e-config and selected discounts/credits should be updated in cart and purchase &amp; offers details page.</t>
  </si>
  <si>
    <t>•  Validate that ESLA is not applicable for Vision
 •  Validate that Agent/User allowed to add discounts/credits under e-config and selected discounts/credits should be updated in cart and purchase &amp; offers details page.</t>
  </si>
  <si>
    <t>•  Validate that ESLA is not applicable for Opticomm
 •  Validate that Agent/User allowed to add discounts/credits under e-config and selected discounts/credits should be updated in cart and purchase &amp; offers details page.</t>
  </si>
  <si>
    <t>•  Validate that ESLA is not applicable for FWA
 •  Validate that Agent/User allowed to add discounts/credits under e-config and selected discounts/credits should be updated in cart and purchase &amp; offers details page.</t>
  </si>
  <si>
    <t>Validate Due Today and Next Expected monthly bill in Cart Section</t>
  </si>
  <si>
    <t>•  Validate that 'Due today'  and 'Next Expected monthly bill'
	Due today:
		•Section should calculate subtotal, delivery fee, discounts, and total correctly.
	Next Expected monthly bill
		•it should display Discounts per Month and  calculate recurring charges per Month correctly.</t>
  </si>
  <si>
    <t>Validate 'View purchase &amp; offer details' Section in Cart Section</t>
  </si>
  <si>
    <t>•  Validate that 'View purchase &amp; offers details' button -Display the Existing /New service details with offers and discount details.</t>
  </si>
  <si>
    <t>Validate 'Create Quote' button in Cart Section</t>
  </si>
  <si>
    <t>•  Validate that agent should navigate Quote Summary page after click the 'Create quote' button.</t>
  </si>
  <si>
    <t>Validate 'Create Order' button in Cart Section</t>
  </si>
  <si>
    <t>•  Validate that agent should navigate to SFJ jounrye customer Details page after click the 'Create order' button for new customer and 'Coverage check' page for existing customer if all the backend validation are successful.</t>
  </si>
  <si>
    <t xml:space="preserve">SSJ Quote Summary </t>
  </si>
  <si>
    <t xml:space="preserve">Validate 'Quote Summary' Section </t>
  </si>
  <si>
    <t>Same as Mobile Journey</t>
  </si>
  <si>
    <t>SFJ- Customer details</t>
  </si>
  <si>
    <t>Validate 'Customer details' Section in SFJ Journey</t>
  </si>
  <si>
    <t>SFJ- ID details</t>
  </si>
  <si>
    <t>Validate 'ID details' Section in SFJ Journey</t>
  </si>
  <si>
    <t>SFJ- Credit check</t>
  </si>
  <si>
    <t>Validate 'Credit Check ' Section in SFJ Journey</t>
  </si>
  <si>
    <t>SFJ- Billing details</t>
  </si>
  <si>
    <t>Validate 'Billing details' Section in SFJ Journey</t>
  </si>
  <si>
    <t>SFJ- Coverage Checker</t>
  </si>
  <si>
    <t xml:space="preserve">Valdiate 'Service Qualification' section in 'Coverage Checker' page in SFJ </t>
  </si>
  <si>
    <t>•  Validate coverage check -NBN with 'Edit in cart' button section should be displayed with below details												
a. Service address: XX XXXXXX					
b. Service qualification												
	Preferred wholesaler  NBN											
	Max Attainable speed  XXXXX											
	Technology Type       XXXX											
	Technology Description Service class description											
	New Development (True from One SQ, Then display " $300 Development charge for first time connection" , False from oneSQ, then display blank )											
	Input field for Landline number (FNN/ULL)</t>
  </si>
  <si>
    <t>•  Validate coverage check -NBN with 'Edit in cart' button section should be displayed with below details												
a. Service address: XX XXXXXX												
b. Service qualification												
	Preferred wholesaler  NBN											
	Max Attainable speed  XXXXX											
	Technology Type       XXXX											
	Technology Description Service class description											
	New Development (True from One SQ, Then display " $300 Development charge for first time connection" , False from oneSQ, then display blank )											
	Input field for Landline number (FNN/ULL)</t>
  </si>
  <si>
    <t>•  Validate coverage check -Vision with 'Edit in cart' button section should be displayed with below details												
a. Service address: XX XXXXXX												
b. Service qualification												
	Preferred wholesaler  Vision											
	Max Attainable speed  XXXXX											
	Technology Type       XXXX											
	Technology Description Service class description											
	New Development (True from One SQ, Then display " $300 Development charge for first time connection" , False from oneSQ, then display blank )</t>
  </si>
  <si>
    <t>•  Validate coverage check -Opticomm with 'Edit in cart' button section should be displayed with below details												
a. Service address: XX XXXXXX												
b. Service qualification												
	Preferred wholesaler  Opticomm											
	Max Attainable speed  XXXXX											
	Technology Type       XXXX											
	Technology Description Service class description											
	New Development (True from One SQ, Then display " $300 Development charge for first time connection" , False from oneSQ, then display blank )											
	Input field for Landline number (FNN/ULL)</t>
  </si>
  <si>
    <t>•  Validate coverage check -FWA section should be displayed with below details.
a. Service address: XX XXXXXX	with search address button
b.Fixed wireless availability status.
4G available/Not available
5G NSA -avilable/Not available
c.View coverage map URL button with below notes
"Note :The coverage URL will expire 20 s after being generated.Please generate if required.</t>
  </si>
  <si>
    <t xml:space="preserve">Valdiate 'Fixed Appointment' section in 'Coverage Checker' page in SFJ </t>
  </si>
  <si>
    <t>•  Validate Fixed appointment section should be displayed with 'Book a Fixed appointment' button				
•  Validate appointment popup window should be displayed with below details											1a. Fixed Location ID LOCXXXXXXX											
	1b. Demand Type Standard Installation/Non EU Jumper Only(Value should be prepopulated based on the technology type and service class)
	1c. Connection Date DD-MON-YYYY(Order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</si>
  <si>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LOCXXXXXXX											
	1b. Demand Type Standard Installation/Non EU Jumper Only(Value should be prepopulated based on the technology type and service class)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</si>
  <si>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LOCXXXXXXX											
	1b. Demand Type Standard Installation/Non EU Jumper Only(Value should be prepopulated based on the technology type and service class)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</si>
  <si>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LOCXXXXXXX											
	1b. Demand Type Standard Installation/Non EU Jumper Only(Value should be prepopulated based on the technology type and service class)
	1c. Connection Date DD-MON-YYYY(Order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</si>
  <si>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message 'customer will be contacted by the vision team to set up the appointment'</t>
  </si>
  <si>
    <t>•  Validate Fixed appointment section should be displayed with 'Book a Fixed appointment' button				
•  Validate appointment popup window should be displayed with below details											1a. Fixed Location ID OPCXXXXXXX											
	1b. Demand Type - Not applicable for Opticomm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</si>
  <si>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OPCXXXXXXX											
	1b. Demand Type - Not applicable for Opticomm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</si>
  <si>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OPCXXXXXXX											
	1b. Demand Type - Not applicable for Opticomm
	1c. Connection Date DD-MON-YYYY(Order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</si>
  <si>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OPCXXXXXXX											
	1b. Demand Type - Not applicable for Opticomm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</si>
  <si>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Fixed Apoointment button and section should not be visible for FWA</t>
  </si>
  <si>
    <t xml:space="preserve">Validate 'Modify Appointment'  in 'Coverage Checker' page in SFJ </t>
  </si>
  <si>
    <t>•  Validate Modify appointment button should be displayed under 'Fixed Appointment' section		
•  Validate appointment popup window should be displayed with below details											1a. Fixed Location ID LOCXXXXXXX											
	1b. Demand Type Standard Installation/Non EU Jumper Only(Value should be prepopulated based on the technology type and service class)
	1c. Connection Date DD-MON-YYYY(Order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</si>
  <si>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  Validate Modify appointment button should be displayed under 'Fixed Appointment' section		
•  Validate appointment popup window should be displayed with below details											1a. Fixed Location ID LOCXXXXXXX											
	1b. Demand Type Standard Installation/Non EU Jumper Only(Value should be prepopulated based on the technology type and service class)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</si>
  <si>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  Validate Modify appointment button should be displayed under 'Fixed Appointment' section		
•  Validate appointment popup window should be displayed with below details											1a. Fixed Location ID LOCXXXXXXX											
	1b. Demand Type Standard Installation/Non EU Jumper Only(Value should be prepopulated based on the technology type and service class)
	1c. Connection Date DD-MON-YYYY(Order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</si>
  <si>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  Validate Modify appointment button should be displayed under 'Fixed Appointment' section		
•  Validate appointment popup window should be displayed with below details											1a. Fixed Location ID LOCXXXXXXX											
	1b. Demand Type Standard Installation/Non EU Jumper Only(Value should be prepopulated based on the technology type and service class)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</si>
  <si>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  Validate Modify appointment button should be displayed under 'Fixed Appointment' section		
•  Validate appointment popup window should be displayed with below details											1a. Fixed Location ID OPCXXXXXXX											
	1b. Demand Type - Not applicable for Opticomm
	1c. Connection Date DD-MON-YYYY(Order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</si>
  <si>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  Validate Modify appointment button should be displayed under 'Fixed Appointment' section		
•  Validate appointment popup window should be displayed with below details											1a. Fixed Location ID OPCXXXXXXX											
	1b. Demand Type Standard Installation/Non EU Jumper Only(Value should be prepopulated based on the technology type and service class)
	1c. Connection Date DD-MON-YYYY	(Order Submission Date)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</si>
  <si>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Fixed Appointment button and section should not be visible for FWA</t>
  </si>
  <si>
    <t xml:space="preserve">Validate 'Cancel Appointment'  in 'Coverage Checker' page in SFJ </t>
  </si>
  <si>
    <t>•  Validate Cancel appointment button should be displayed under 'Fixed Appointment' section		
•  On clicking the button, popup with ' Are you sure you want to cancel the appointment? '  with two buttons- No,goback and Yes,cancel displayed
•  On clicking Yes cancel button, banner with ' Fixed appointment has been cancelled' with green tick icon should displayed with ' Book a fixed appointment' button</t>
  </si>
  <si>
    <t>Validate Service List section in 'Coverage Checker' page in SFJ</t>
  </si>
  <si>
    <t xml:space="preserve">•  Validate Service list section as per the oneSQ response												
	1a.Table with below columns should be displayed with details which is available in onesq.							
	NTD ID											
	UNI D/V 											
	Status - Used/Free											
	Order Availability											
	Product ID											
	Service provider											
	Priority											
	NTD Installation											
	PS/Batter											
	Service ID											
	1b.After enhanced NBN check is performed, results for the service will be returned in table""							
	Product instance(PRIXXXX)											
	Service provider(Telstra/TPG Telecom)											
	Service ID match(Yes/No)											
	1c. For Internal Loss -If the brand is within TPG Telecom group i.e. Vodafone/TPG/iiNet, the return display for Service Provider column will be “TPG Telecom”. This is due to Siebel unable identify which brand/Losing Service Provider (LSP) within TPG Telecom.
</t>
  </si>
  <si>
    <t>•  Validate that Service list table should be displayed without any details.</t>
  </si>
  <si>
    <t>Validate that Service list table with below columns should be displayed with details which is available in onesq
NTD Id
UNI-D/V
Status
Order Availability
NTD install date
Product Instance Id
Service Provider
Priority Assist
PS/Battery Backup Install Date</t>
  </si>
  <si>
    <t xml:space="preserve">•  Validate Service list section as per the oneSQ response												
	1a.Table with below columns should be displayed with details which is available in onesq.							
	NTD ID											
	UNI D/V 											
	Status - Used/Free											
	Order Availability											
	Product ID											
	Service provider											
	Priority											
	NTD Installation											
	PS/Batter											
	Service ID											
	</t>
  </si>
  <si>
    <t>"•  Validate Service list section as per the oneSQ response												
	1a.Table with below columns should be displayed with details which is available in onesq.							
	NTD ID											
	UNI D/V 											
	Status - Used/Free											
	Order Availability											
	Product ID											
	Service provider											
	Priority											
	NTD Installation											
	PS/Batter											
	Service ID	"</t>
  </si>
  <si>
    <t>Service List section should not be visible for FWA</t>
  </si>
  <si>
    <t>Validate Enhanced Fixed Check section in Coverage Checker page in SFJ</t>
  </si>
  <si>
    <t>•  Validate Enhanced Fixed Check section as per the port selection
•  For service transfer , Outstanding,  Internal loss order types for Fibre and HFC- AVC ID should be mandatory to proceed further.			
	1a. Agent should select the radio button ""YES"" for 'Does Customer have Access Service ID(AVC ID)?' If AVC ID is known, Else select ' UnKnown AVC ID' button	
	1b. New input field to enter AVC ID should be displayed if Agent clicks ' yes'
	1c.Agent should enable the check box ('Customer has agreed to enhanced check') to enable the enhanced check button
•  If Agent select the port for copper, FNN/ULL is mandatory to perform Enhanced Check button 
•  On clicking Enhanced  Check button , one More OneSQ request should be triggered in the backend, and additional values (Product Instance, Service Provider, Service ID Match) should be updated in Service List table"</t>
  </si>
  <si>
    <t>•  Validate Enhanced Fixed Check section should be hide for vision</t>
  </si>
  <si>
    <t>•  Validate Enhanced Fixed Check section with below details																						
	Agent should enable the check box  with message 'Customer has agreed to enhanced check'  to enable the  'Enhanced Fixed check'  button											
	On clicking Enhanced  fixed check button , one More OneSQ request should be triggered in the backend, and additional values (Product Instance, Service Provider, Service ID Match) should be updated in Service List table</t>
  </si>
  <si>
    <t>Enhanced Check section should not be visible for FWA</t>
  </si>
  <si>
    <t>Validate Order Information section in Coverage Checker page in SFJ</t>
  </si>
  <si>
    <t>•  Validate Order Information section												
	Existing Service											
		Check Box - Customer wants to keep existing fixed service active- Agent/User should enable the check box when a free port is selected along with the existing used port to avoid any interruption to the  existing port/service.
		Check Box- Customer wants an additional NBN connection box(NTD/Copper Pair) -Warning/Error message should be displayed on clicking this check box.</t>
  </si>
  <si>
    <t>•  Validate Order Information section												
	Existing Service											
		Check Box - Customer wants to keep exisiting fixed service active-Agent/User should enable the check box when a free port is selected along with the existing used port to avoid any interruption to the  existing port/service.</t>
  </si>
  <si>
    <t>•  Validate Order Information section												
	Existing Service											
		Check Box - Customer wants to keep exisiting fixed service active- Agent/User should enable the check box when a free port is selected along with the existing used port to avoid any interruption to the  existing port/service.</t>
  </si>
  <si>
    <t>Order Information Section should not be visible for FWA</t>
  </si>
  <si>
    <t>Validate Transfer Details section in Coverage Checker page in SFJ</t>
  </si>
  <si>
    <t>•  Validate Transfer details section as below												
•  Transfer Type dropdown - New, Belongs to other, Belongs to customer 											If  	1a. Agent selects Free line, Transfer type should be New;										
	1b. If agent selects Used lines, Transfer Type should be dropdown values as Belongs to Customer, Belongs to other		
	1c. If Agents Selects Belongs to Other option , Alert message should display  regarding pending process as below
		"Connect outstanding: This may require further action before the order can be completed. Order status will be set to pending until resolved."
•  CVC# should be displayed by default . If multiple CVC is avilable? 
•  Installation Option - Its mandatory depending on Technology. The value should be 'Standard install' for Technology 'HFC' with service class SC24 and for others the value should be "NBN Install"											
•  Connection Date field should be displayed only If agent selects Belongs to Other, Defaulted to Todays date. Agent can modify to future date as well
•  Additional/chargeable copper pair waive reason											
	High Speed - Eligible/Not Eligible											
	Fibre Connect - Serviceable/Not serviceable											
	Fibre Upgrade High Speed - Not eligible/Eligible"</t>
  </si>
  <si>
    <t>•  Validate Transfer details section should be hide for vision</t>
  </si>
  <si>
    <t xml:space="preserve">•  Validate Transfer details section as below												
•  Transfer Type dropdown - New, Belongs to customer 											
	1a. If Agent selects Free line, Transfer type should be New;										
	1b. If agent selects Used lines, Transfer Type should be dropdown values as Belongs to Customer		
•  CVC# should be displayed by default . If multiple CVC is avilable? 
•  Installation Option - Its mandatory depending on Technology. The value should be 'Standard install' for Technology 'HFC' with service class SC24 and for others the value should be "NBN Install"											
</t>
  </si>
  <si>
    <t>Transfer Detaisl section should not be visible for FWA</t>
  </si>
  <si>
    <t>SFJ PLP - Proposition Page</t>
  </si>
  <si>
    <t>Validate Order Information in Proposition page</t>
  </si>
  <si>
    <t xml:space="preserve">1. Table with list of services added to purchse with below column
a. MSISDN/new service
b. Order Type- New Connection
c. Product: Proposiiton Name
d. Device: Yes/No
e. APP: Yes/No
Status: Ready/Non ready
2. Validate Header should be displayed as 'New Connection' with Edit in cart button and Mark as Ready check box	
a. Line Item - Total No. of services added will be mentioned in numeric value												
b. Order Number - Order ID should get created with unique identifier for the user to track the order details.												
c. Order Type - New Connection												
d. Proposition - selected Proposition name. 												
e. Service - selected plan name.												
f. Promo Code - Provided Promo code value during quote creat otherwise blank.												
g. Add Ons - If user purchased any addons then the status will get displayed as "yes", otherwise "No".												
h. table with below columns												
    Connection type - if user purchased the plan and device proposition details then ' Plan and device' will get displayed under connection type field.												
    Stock Indicator - ' In stock' or 'Out of stock' will be displayed based on the Device status purchased .												
    Product type -												
    Installed asset PIN- 												
    Notification MSISDN - Checkbox  ith tick mark should be updated if the user provided the Notification MSISDN in the previous account creation page.										</t>
  </si>
  <si>
    <t>Validate 'Device &amp; SIM' section  in Proposition page</t>
  </si>
  <si>
    <t>Validate 'Accessories/Wearables' section  in Proposition page</t>
  </si>
  <si>
    <t>•  Validate Product Details table with below columns
1a. Type - Accessories/Wearables
1b. Device 
1c. Stock Indicator- In Stock/out of Stock
1d. IMSI/Serial #- IMEI for FWA; NA for Fixed
1e. EID - NA/EID #
1f. Monthly device care - Added/NA
1g. Payment Term- 12/24/36 months
1h. RRP- $XXXX
1i. Contract Amount - $XXXX
•  IMEI and EID should be able to enter by User here . If not, error should be thrown</t>
  </si>
  <si>
    <t>SFJ- Prepayment Page</t>
  </si>
  <si>
    <t>Validate Prepayment config page in SFJ</t>
  </si>
  <si>
    <t>Validate that Prepayment and sharing page should be displayed with below details if no prepayment applicable.
1.Prepayments section with message 'No Prepayment available'
2.Data sharing section with message 'No data sharing to be configured on this order'
Prepayment Required: 
1. Validating Prepayments section under Configure prepayments and sharing setup
a.Validate Prepayments section under Configure prepayments and sharing setup
b.Validate the below details under Prepayments:
--Total device cost
--Total APP Cost
--Devices and accessories amount in the order
--Prepayment Option
--Remaining equipment  limit
--Requried minimum prepayment amount
c.Validate user should able to see the Prepayment amount ready to pay upfront - text box should be available
2. Validating Payment plan section
a.Validate Prepayment plan section under Configure prepayments and sharing setup
b.Validate the below details under Prepayment plan:
--Service order ID
--MSISDN
--Contract amount
--Device/Accessory name
--Original monthly amount
--New monthly amount
--Prepayment
3. Validating that Data Sharing section should be available only when the Existing service will have the multiple mobile services .</t>
  </si>
  <si>
    <t>SFJ-Order review Page</t>
  </si>
  <si>
    <t>Validate 'Purchase &amp; Offer Details' in Order Review page</t>
  </si>
  <si>
    <t>1. Validate Purchase &amp; Offer Details  available in order reviw page											
		a.Purchase &amp; Offer Details Button										
			Button is visible.									
			Selected state is highlighted correctly.									
			User can return to Purchase and Offer details page without losing data.</t>
  </si>
  <si>
    <t>Validate Billing Summary Information in Order Review Page</t>
  </si>
  <si>
    <t>2.Validate below Billing summary informations are getting displayed in order review page											
		a.Billing Account										
			Example: 943897578									
				Billing account displayed correctly.								
				Billing account should be active.								
		b.Account Status										
			Example: Active with green tick icon									
		c.Next Monthly Bill										
			Example: $332.18									
				Currency format displayed correctly.								
				Amount fetched from billing system.								
				Decimal precision is correct.								
		d.Due Today										
			Example: $870.80									
				Value correctly calculated.								
				One-time charges included.								
				Device repayments included if applicable.								
		On Clicking Tooltip , Prepayment Amount should be displayed										
			Example: $870.80</t>
  </si>
  <si>
    <t>Validate Order related information in Order review page</t>
  </si>
  <si>
    <t>4.Validate the Order Type section is displayed with below details											
		a.Order Type										
			Example: New Connect									
		b.Service Number / Reference Number										
			Example: 61400000001
Validate the below connect outstanding banner when its applicable to display 											
		Message:"Connect outstanding:This may require further action before the order can be completed. Order status will ne set to pending until it resolved.</t>
  </si>
  <si>
    <t>validate Fixed Contacts, Orders, Appointment details in Order Review Page</t>
  </si>
  <si>
    <t>"6.Validate that below buttons are getting displayed in order review page if applicable											
		a.Fixed Contact Details										
			Validate below details after clicking on Fixed contact details button								
				Contact name								
				Contact number (61 format)								
				Noification method								
				Notification email								
			Validate the Close button and ""X"" is available.									
		b.Fixed Order Details										
			Validate below details after clicking on Fixed order details button								
				Address								
				Location ID								
				Order type								
				Transfer type								
				Landline number(FN/ULL)								
				Technology type								
				Estimated activation date								
				CVC ID								
			Validate the Close button and ""X"" is available.									
		c.Fixed Appointment Details - should display  only for appointment-based services.										
			Validate below details after clicking on Fixed appointment details button							
				Appointment date								
				Time slot								
				Demand type								
				Appointment Status								
				Fixed Location ID								
				Fixed appointment ID								
				Installation notes								
				--Special Condition								
			3.Validate the Close button and ""X"" is available.									
		d.Service Address Details										
			Validate below details after clicking on Service address details button								
				Service address								
				Street type								
				State								
				Country								
				City								
				Postal Code								
			Validate the Close button and ""X"" is available."</t>
  </si>
  <si>
    <t>Validate Order details in Order Review Page</t>
  </si>
  <si>
    <t>7.Validate the below fields are getting displayed if applicable to the Order type											
		a.Order Details										
			Line Item									
			Order Number									
			Fulfilment Order Number									
			Order Type									
			Order Status									
			Connection Date(Order Submission Date)									
			Notification MSISDN									
			"eSIM Confirmation Code 
"									
			Promo Code									
		b.Service Details										
			Connection Type									
			Proposition									
			Plan									
			Payment Term									
		C.Order Management										
			QR Code Message - should display only when QR code generation is applicable.									
			Port In -  Should be blank for fixed									
			SIM</t>
  </si>
  <si>
    <t>7.Validate the below fields are getting displayed if applicable to the Order type											
		a.Order Details										
			Line Item									
			Order Number									
			Fulfilment Order Number									
			Order Type									
			Order Status									
			Connection Date	(Order Submission Date)										
			Notification MSISDN									
			"eSIM Confirmation Code 
"									
			Promo Code									
		b.Service Details										
			Connection Type									
			Proposition									
			Plan									
			Payment Term									
		C.Order Management										
			QR Code Message - should display only when QR code generation is applicable.									
			Port In -  Should be blank for fixed									
			SIM</t>
  </si>
  <si>
    <t>7.Validate the below fields are getting displayed if applicable to the Order type											
		a.Order Details										
			Line Item									
			Order Number									
			Fulfilment Order Number									
			Order Type									
			Order Status									
			Connection Date(Order Submission Date)											
			Notification MSISDN									
			"eSIM Confirmation Code 
"									
			Promo Code									
		b.Service Details										
			Connection Type									
			Proposition									
			Plan									
			Payment Term									
		C.Order Management										
			QR Code Message - should display only when QR code generation is applicable.									
			Port In -  Should be blank for fixed									
			SIM</t>
  </si>
  <si>
    <t>7.Validate the below fields are getting displayed if applicable to the Order type											
		a.Order Details										
			Line Item									
			Order Number									
			Fulfilment Order Number									
			Order Type									
			Order Status									
			Connection Date		(Order Submission Date)									
			Notification MSISDN									
			"eSIM Confirmation Code 
"									
			Promo Code									
		b.Service Details										
			Connection Type									
			Proposition									
			Plan									
			Payment Term									
		C.Order Management										
			QR Code Message - should display only when QR code generation is applicable.									
			Port In -  Should be blank for fixed									
			SIM</t>
  </si>
  <si>
    <t>Validate Product details in Order review page</t>
  </si>
  <si>
    <t>8.Validate below tables are displayed when Applicable Based on What's in the Order											
		a.Product Details										
			It should display If there are physical product is available in order									
			validate the below fields in product details table									
				Type								
				Product								
				Monthly device care								
				Payment term								
				Contract amount								
		b.Add on Selected 										
			It should display If there are add-ons  available in order									
			validate the below fields in Add ons Selected table									
				Name								
				Type								
				Expiry								
		c.Offers Selected										
			It should display If there are offers available in order and Table hidden if no offers exist.									
			validate the below fields in Offers Selected table									
				Offer code 								
				Offer name 								
				Add Offer flag 								
				Co-exist indicator 								
				Offer description 								
				Number of services 								
				Mandatory indicator								
		d.Charges										
			It should display If there are one time charges available in order and Table hidden if no charges exist.									
			validate the below fields in Charges table									
				Charge type 								
				Description 								
				Charge amount 								
				Discount calculation 								
				Net Amount								
				Related ID 								
				EEF/EUF rollover								
		e.Prepayments										
			It should display If there is prepayments available in order and Table hidden if no prepayment is required.									
			validate the below fields in Prepayments table									
				Total Prepayment 								
				Total MPP Prepayment 								
				Total APP Prepayment 								
		f.Shipping details										
			It should display only when shippable items exist in order and Table hidden if  when no shipment is required.									
			If we have unknown shipping date then it should isplay the below banner mesage									
				message-"There are items in this order with an unkown shipping date.Customer will receive an SMS notification with the estimated shipping details once the fulfilment order has been submitted.								
			validate the below fields in Shipping details table									
				Product								
				Type								
				Date								
				Stock availability								
			validate after updated shipping details table user can check the stock availability by clicking on Perform stock check button.</t>
  </si>
  <si>
    <t>Validate Shipping details in Order review page</t>
  </si>
  <si>
    <t>10.Validate below shipping address details should get updated with the below field values populated.
 "											
		"a. Customer details 
     "										
			Title - Drop down should get updated .									
			Attention to - Customer name should get updated									
		b.Shipping details 										
			Business name 									
			Address Type									
			 Address - Customer Address should get updated with two other check boxes below 									
				Manual Address - To Update the address manually								
				Same as Primary address - To update the same primary address								
			Shipment Preference - Shipment preference should get updated based on the drop down option									
		c.Shipment Notification										
			Validate Notification Method, Notification MSISDN and Notification email fields should get populated based on delivery notifications									
			 	Notification Method - Notification Method should be updated as Txt or Email .								
				Notification MSISDN - Notification MSISDN details should be updated .								
				Notification email - Customer's email address should get updated and validate CTA button should be enabled to verify the email address.</t>
  </si>
  <si>
    <t>Validate Validation messages in Order review page</t>
  </si>
  <si>
    <t>Validate below fields should be available under validation messages to verify the messages											
	 	a. Override SMS - Checkbox should be available										
		b. 2 way SMS MSISDN -Text box and 'PICK MSISDN' button should be disabled.												   
                c. Refresh CTA button should be available to refresh the validation message section.									
		d. Paperless Bypass Reason - Drop down should be available to choose the reason and text message "The Customer will be sent an SMS on completion of this transaction.</t>
  </si>
  <si>
    <t>Validate Terms and Condition section in Order review page</t>
  </si>
  <si>
    <t>11.Validate that 'Terms &amp; condition' section should be displayed in Order Review page with below details for the user with responsibility 'Type  : VHA_FUNCTION_ACCESS_RESP Value : Sales Manual SMS Rationalization'											
		a. Banner with  message 'Reminder to review terms &amp;conditions with customer'										
		b. Message ' &lt;Decision Maker Name&gt; will receive the following Terms &amp; Condition SMS '										
		c. Existing Contacts drop down button with below user contact numbers and 'Send mandatory SMS now' button with enabled status.										
			&lt;Contact Number&gt;(Account Holder)									
			&lt;Contact Number&gt;(Authorised) -display only for Existing customer									
		d. SMS Customer Order Table with column 'Order type ,MSISDN ,Item in cart ,Included mandatory SMS'										
			Order type-&gt;New connect									
			MSISDN-&gt; Service MSISDN(614XXXXX) 									
			Item in cart-&gt;(selected Plan)									
			Included mandatory SMS -&gt;List of SMS send to customer									
		•  Validate that agent/user allowed to select Account Holder/Authorised contact number from existing contacts drop down and click the 'Send mandatory SMS now button.										
		•  Validate that 'Send mandatory SMS now' button changed into 'Mandatory SMS sent'  with tick mark and it should be disabled 										
		•  Validate  'Mandatory SMS sent' inline message with green round tick mark symbol should  display under Existing contact drop down										
		•  Validate that SMS should be triggered and sent to customer successfully										
		•  Validate that  Automatic mandatory SMS should not  be triggered and sent to customer after complete the order.</t>
  </si>
  <si>
    <t>Validate Contract Generation in Order review page</t>
  </si>
  <si>
    <t>12.Validate the generate contract section with below fields
		Order file name should get updated if any contract has been generated already.										
		Validate Sales person , External reference ID, Approval ID text boxes should be available .										
		Generate Contract CTA button should be enabled to generate the contract details for purchased items.										
		Send Email CTA button should be in disabled Status.	
		Validate the NSA document should be generated with selected plan, device and eSLA details.</t>
  </si>
  <si>
    <t>SFJ-Make a payment</t>
  </si>
  <si>
    <t>Validate Payment in SFJ Journey</t>
  </si>
  <si>
    <t>Post Order Validation - Siebel</t>
  </si>
  <si>
    <t>Validate Fixed related validation once order is submitted in Siebel</t>
  </si>
  <si>
    <t>• Validate that the user able to submit the order successfully.											
•  Validate the Order Line Items for the performed transaction											
•  Validate Fulfillment order is triggered if Modem/Modem&amp; Accessory are Out of stock									
•  Validate that the SQ is retriggered if the connect order is getting submitted post 4 hrs of delay.							
•  Validate that Connect got cancelled if the port is used during oneSQ	
•  Validate that Connect order is triggered after Fulfillment order is completed
•  Validate the Fixed Order type, Transfer Type and Order sub Function as per scenario
	Fixed Order Type- Connect
	Transfer Type- New, Service Transfer, Connect Outstanding, Service Transition, Connect outstanding Transition, internal loss, Service reversal (As per scenario)
	Order Subfunction - Null for connect										
•  Validate the Submit order XML for below tags, Compare XMLs with BAU TBUI Order for each one order type						
	Service Class											
	Technology											
	Service provider											
	Transfer type											
	Order type											
	Plan											
	Modem											
	Speed	
	ESLA	
	Demand type
	Installation Option									
	ACS Modem Provisioning											
	NBN Provisioning
•  Validate that Fixed order details under Line items should be available with below details:
  	Fixed Technology
  	Fixed Loc ID
  	Fixed Address
  	Transfer Type
  	Landline(FNN/ULL)
  	Fixed Order Type
  	Order Sub function
  	Fixed APpointment ID
  	Install option
 	Fixed order number
 	Fixed order notification
  	Order contact details
  	Status
 	Sub status
	Planned completion date
•  Validate the below details in Siebel after order completion.
a. Validate the below details in Fixed Service Address Details tab
	Fixed Address-Coverage check address
	Fixed Location Id-Coverage check address
	Fixed Technology-Selected Technology	
b. Assets page should be displayed with below details.
	Selected proposition and plan should be available and service provide should be 'TPG'
	Fixed Product Instance Id-PRI value Assigned by NBN(should match with fusion/NSG logs)
	Static IP for business customer								
c. Components tab should displayed with below line items with attributes and details should be match with NSG /fusion response logs.
	Proposition and Plan with speed
	Fiber product specification
	Fiber NTD resource specification
	Fiber UNID resource specification
	Fiber AVC resource specification
d. Below details should be available after Retrieve Network settings
	Plan name
	AVC ID
	User Name
	Service framed IPv4 address with static IP for business customer
 	Modem MAC Address-Display only when modem connected
e. Validate that fixed address should be set as customer Service address with premise flag checkbox enabled under customer address tab.""
f. Validate that Fixed order notification under asset tab should be validated with notification type, status, order type, date."</t>
  </si>
  <si>
    <t>Post Order Validation-Other systems</t>
  </si>
  <si>
    <t>Validate Fixed requests in Others Systems</t>
  </si>
  <si>
    <t xml:space="preserve">•  Validate that SMS &amp; Email should triggered as the template with/without appointment details after order completion.
•  Validate that proof of purchase Email should be triggered when device purchased.
•  Validate that all the events like NSG, GRAD, GRAP, ACS events are triggered and got completed successfully.						
•  Validate the Invoice with AVC ID , ESLA and discounts/credits details retrieved for the performed transaction	
</t>
  </si>
  <si>
    <t>Modem</t>
  </si>
  <si>
    <t>NDC</t>
  </si>
  <si>
    <t>Connect Fixed</t>
  </si>
  <si>
    <t>NTD Details</t>
  </si>
  <si>
    <t>* Technology type should be 'FTTN/FTTB/FTTC based on location/scenario.</t>
  </si>
  <si>
    <t xml:space="preserve">Fulfillment </t>
  </si>
  <si>
    <t>Service provider</t>
  </si>
  <si>
    <t xml:space="preserve">After enhanced NBN check is performed, results for the service will be returned in table
</t>
  </si>
  <si>
    <t>Product instance(PRIXXXX)</t>
  </si>
  <si>
    <t>Service provider(Telstra/TPG Telecom)</t>
  </si>
  <si>
    <t>Service ID match(Yes/No)</t>
  </si>
  <si>
    <t xml:space="preserve">For Internal Loss (DFA only)-If the brand is within TPG Telecom group i.e. Vodafone/TPG/iiNet, the return display for Service Provider column will be “TPG Telecom”. This is due to Siebel unable identify which brand/Losing Service Provider (LSP) within TPG Telecom. </t>
  </si>
  <si>
    <t>Fulfillment -Coverage check -  Vision</t>
  </si>
  <si>
    <t>•  Validate coverage check -Vision with 'Edit in cart' button section should be displayed with below details</t>
  </si>
  <si>
    <t>Preferred wholesaler  Vision</t>
  </si>
  <si>
    <r>
      <rPr>
        <sz val="10"/>
        <color rgb="FF000000"/>
        <rFont val="Aptos Narrow"/>
        <family val="2"/>
        <scheme val="minor"/>
      </rPr>
      <t xml:space="preserve">Status - </t>
    </r>
    <r>
      <rPr>
        <b/>
        <sz val="10"/>
        <color rgb="FF000000"/>
        <rFont val="Aptos Narrow"/>
        <family val="2"/>
        <scheme val="minor"/>
      </rPr>
      <t>Empty</t>
    </r>
  </si>
  <si>
    <t>No network installed: Hide radio selection column as the service cannot be selected without network</t>
  </si>
  <si>
    <t>Network installed: Display radio selection column as the agent can select a service from the list</t>
  </si>
  <si>
    <t>Fulfillment -Coverage check -  Opticomm</t>
  </si>
  <si>
    <t>•  Validate coverage check -Opticomm with 'Edit in cart' button section should be displayed with below details</t>
  </si>
  <si>
    <t>Preferred wholesaler  Opticomm</t>
  </si>
  <si>
    <t xml:space="preserve">Existing Service </t>
  </si>
  <si>
    <t>Post Verification</t>
  </si>
  <si>
    <t>Connect Fixed NBN:</t>
  </si>
  <si>
    <t>Verify that the user able to submit the order successfully.</t>
  </si>
  <si>
    <t xml:space="preserve">Validate that Static IP should  be Receive it from LSD during Order submission and updated in Asset and Order level after order completion. </t>
  </si>
  <si>
    <t>Validate that Static IP should  be retrieved from GRAD after retrieving the Retrieving the Network settings from siebel application</t>
  </si>
  <si>
    <t>Order Line Items</t>
  </si>
  <si>
    <t>Verify Fulfillment order is triggered if Modem/Modem&amp; Accessory are Out of stock</t>
  </si>
  <si>
    <t>Verify that the SQ is retriggered if the connect order is getting submitted post 4 hrs of delay.</t>
  </si>
  <si>
    <t>Verify that Connect got cancelled if the port is used during oneSQ</t>
  </si>
  <si>
    <t>Validate the Submit order XML for below tags,</t>
  </si>
  <si>
    <t>Compare XMLs with BAU TBUI Order for each one order type</t>
  </si>
  <si>
    <t>Transfer type</t>
  </si>
  <si>
    <t>Order type</t>
  </si>
  <si>
    <t>Plan</t>
  </si>
  <si>
    <t>Speed</t>
  </si>
  <si>
    <t>ACS Modem Provisioning</t>
  </si>
  <si>
    <t>NBN Provisioning</t>
  </si>
  <si>
    <t>Verify that all the events like NSG, GRAD, GRAP, ACS events are triggered and got completed successfully.</t>
  </si>
  <si>
    <t>Invoice with AVC ID details</t>
  </si>
  <si>
    <t xml:space="preserve">Connect Fixed - Service Transfer </t>
  </si>
  <si>
    <t>Connect Fixed - Transfer Reversal</t>
  </si>
  <si>
    <t>Place a service transfer from VF to Telstra/Optus</t>
  </si>
  <si>
    <t>Verify that the Transfer reversal option is enabled before X no. of days</t>
  </si>
  <si>
    <t>Verify that transfer Reversal order got completed successfully.</t>
  </si>
  <si>
    <t>Verify that user is reversed back to Vodafone RSP.</t>
  </si>
  <si>
    <t>Verify that the internal loss disconnect order is auto created and it got completed successfully once the disconnect notification is received from NBN.</t>
  </si>
  <si>
    <t>Verify that the connect order is getting submitted only after the internal loss disconnect order is completed successfully is every end.</t>
  </si>
  <si>
    <t>Verify that the internal loss disconnect order is auto created and it got completed successfully once the disconnect notification is received.</t>
  </si>
  <si>
    <t>Verify that all the events are triggered and got completed successfully.</t>
  </si>
  <si>
    <t>Connect Fixed - Opticom</t>
  </si>
  <si>
    <t>Validate that FWA post order validation-Best Site information -    Best Site information Should be displayed in Siebel -Asset- &gt; FWA Details Tab -&gt; Best Site details:  ( 1 sectorName  2 antennaDirection ( display as 'Angle Best' in Siebe FWA details Tab) 3 distanceMetres ( display as 'Distance Best' in Siebel FWA details Tab)  4 Frequency  5 signalStrength  6 Technology ( 4G/5G depending on the mapshed response)</t>
  </si>
  <si>
    <t>Opticomm Provisioning</t>
  </si>
  <si>
    <t>Verify that all the events like Opticomm, GRAD, GRAP, ACS events are triggered and got completed successfully.</t>
  </si>
  <si>
    <t>Connect Fixed- Vision</t>
  </si>
  <si>
    <t>Vision Provisioning</t>
  </si>
  <si>
    <t>Verify that all the events like Vision events are triggered and got completed successfully.</t>
  </si>
  <si>
    <t xml:space="preserve">New Connect Fixed with Modem </t>
  </si>
  <si>
    <t>1.Validate Header should be displayed as 'New Connection' with Edit in cart button and Mark as Ready check box(tick mark by default)</t>
  </si>
  <si>
    <t>a. Line Item - Total No. of services added will be mentioned in numeric value</t>
  </si>
  <si>
    <t>b. Order Number - Order ID should get created with unique identifier for the user to track the order details.</t>
  </si>
  <si>
    <t>c. Order Type - New Connection</t>
  </si>
  <si>
    <t xml:space="preserve">d. Proposition - selected Proposition name. </t>
  </si>
  <si>
    <t>e. Service - selected plan name.</t>
  </si>
  <si>
    <t>f. Promo Code - Provided Promo code value during quote creat otherwise blank.</t>
  </si>
  <si>
    <t>g. Add Ons - If user purchased any addons then the status will get displayed as "yes", otherwise "No".</t>
  </si>
  <si>
    <t>h. table with below columns</t>
  </si>
  <si>
    <t xml:space="preserve">    Connection type - if user purchased the plan and device proposition details then ' Plan and device' will get displayed under connection type field.</t>
  </si>
  <si>
    <t xml:space="preserve">    Stock Indicator - ' In stock' or 'Out of stock' will be displayed based on the Device status purchased .</t>
  </si>
  <si>
    <t xml:space="preserve">    Product type -</t>
  </si>
  <si>
    <t xml:space="preserve">    Installed asset PIN- </t>
  </si>
  <si>
    <t xml:space="preserve">    Notification MSISDN - Checkbox  ith tick mark should be updated if the user provided the Notification MSISDN in the previous account creation page.</t>
  </si>
  <si>
    <t>2. Validate Device &amp; SIM section should be displayed with below details.</t>
  </si>
  <si>
    <t>a. MSISDN search box with Allocation button ,Once allocated name should be changed into deallocate under Number assignment</t>
  </si>
  <si>
    <t>b. Selected Device name should be populated under product details</t>
  </si>
  <si>
    <t xml:space="preserve">         1. Fixed NBN -Modem - Arcadyan</t>
  </si>
  <si>
    <t xml:space="preserve">         2. Opticom -Modem - Arcadyan</t>
  </si>
  <si>
    <t xml:space="preserve">         3. Vison -Modem - TPLink</t>
  </si>
  <si>
    <t xml:space="preserve">         4. FWA 4G -Modem - Wifi Hub/ Modem - Refurb</t>
  </si>
  <si>
    <t xml:space="preserve">         5. FWA 5G -Modem - Wifi Hub/ Modem - Refurb</t>
  </si>
  <si>
    <t>c. IMEI/serial# text box with validate button should be displayed only for FWA section under product details.</t>
  </si>
  <si>
    <t>d. EID text box with IMEI Display message "Special order device"</t>
  </si>
  <si>
    <t>e. SIM details should be displayed with SIM type radio button physical and eSIM and payment RRP $x.xxxx</t>
  </si>
  <si>
    <t>f. SIM text box with allocate button should be displayed below SIM type for FWA service.</t>
  </si>
  <si>
    <t>3.Validate Ring and collect details should be displayed with Reserve store stock button.</t>
  </si>
  <si>
    <t>New Connect Fixed BYD without Modem</t>
  </si>
  <si>
    <t>Order reiew Page</t>
  </si>
  <si>
    <t>1. Validate Purchase &amp; Offer Details  available in order reviw page</t>
  </si>
  <si>
    <t>a.Purchase &amp; Offer Details Button</t>
  </si>
  <si>
    <t>Button is visible.</t>
  </si>
  <si>
    <t>Selected state is highlighted correctly.</t>
  </si>
  <si>
    <t>User can return to Purchase and Offer details page without losing data.</t>
  </si>
  <si>
    <t>2.Validate below Billing summary informations are getting displayed in order review page</t>
  </si>
  <si>
    <t>a.Billing Account</t>
  </si>
  <si>
    <t>Example: 943897578</t>
  </si>
  <si>
    <t>Billing account displayed correctly.</t>
  </si>
  <si>
    <t>Billing account should be active.</t>
  </si>
  <si>
    <t>b.Account Status</t>
  </si>
  <si>
    <t>Example: Active with green tick icon</t>
  </si>
  <si>
    <t>c.Next Monthly Bill</t>
  </si>
  <si>
    <t>Example: $332.18</t>
  </si>
  <si>
    <t>Currency format displayed correctly.</t>
  </si>
  <si>
    <t>Amount fetched from billing system.</t>
  </si>
  <si>
    <t>Decimal precision is correct.</t>
  </si>
  <si>
    <t>d.Due Today</t>
  </si>
  <si>
    <t>Example: $870.80</t>
  </si>
  <si>
    <t>Value correctly calculated.</t>
  </si>
  <si>
    <t>One-time charges included.</t>
  </si>
  <si>
    <t>Device repayments included if applicable.</t>
  </si>
  <si>
    <t>On Clicking Tooltip , Prepayment Amount should be displayed</t>
  </si>
  <si>
    <t>3.Validate the below alerts and Error messgae banners in order review page if applicable</t>
  </si>
  <si>
    <t>a.Equipment Limit Banner</t>
  </si>
  <si>
    <t>Example: $302 Remaining equipment limit</t>
  </si>
  <si>
    <t>Banner shown when limit exists.</t>
  </si>
  <si>
    <t>Available amount calculated correctly.</t>
  </si>
  <si>
    <t>Banner hidden when not applicable.</t>
  </si>
  <si>
    <t>b.Warning Alert Banner</t>
  </si>
  <si>
    <t>Example: Alert body text</t>
  </si>
  <si>
    <t>Warning displayed where applicable.</t>
  </si>
  <si>
    <t>Correct warning message should display.</t>
  </si>
  <si>
    <t>c.Error Banner</t>
  </si>
  <si>
    <t>Example: There is error in cart please amend</t>
  </si>
  <si>
    <t>Error displayed when validation fails.</t>
  </si>
  <si>
    <t>Error message clearly identifies issue.</t>
  </si>
  <si>
    <t>"Return to Cart"hyper link should be available.</t>
  </si>
  <si>
    <t>Order submission blocked until error resolved.</t>
  </si>
  <si>
    <t>4.Validate the Order Type section is displayed with below details</t>
  </si>
  <si>
    <t>a.Order Type</t>
  </si>
  <si>
    <t>Example: New Connect</t>
  </si>
  <si>
    <t>b.Service Number / Reference Number</t>
  </si>
  <si>
    <t>Example: 61400000001</t>
  </si>
  <si>
    <t xml:space="preserve">5.Validate the below connect outstanding baneer when its applicable to display </t>
  </si>
  <si>
    <t>Message:"Connect outstanding:This may require further action before the order can be completed. Order status will ne set to pending until it resolved."</t>
  </si>
  <si>
    <t>6.Validate that below buttons are getting displayed in order review page if applicable</t>
  </si>
  <si>
    <t>a.Fixed Contact Details</t>
  </si>
  <si>
    <t>Validate below details after clicking on Fixed contact details button</t>
  </si>
  <si>
    <t>Contact name</t>
  </si>
  <si>
    <t>Contact number (61 format)</t>
  </si>
  <si>
    <t>Noification method</t>
  </si>
  <si>
    <t>Notification email</t>
  </si>
  <si>
    <t>Validate the Close button and "X" is available.</t>
  </si>
  <si>
    <t>b.Fixed Order Details</t>
  </si>
  <si>
    <t>Validate below details after clicking on Fixed order details button</t>
  </si>
  <si>
    <t>Address</t>
  </si>
  <si>
    <t>Location ID</t>
  </si>
  <si>
    <t>Landline number(FN/ULL)</t>
  </si>
  <si>
    <t>Technology type</t>
  </si>
  <si>
    <t>Estimated activation date</t>
  </si>
  <si>
    <t>CVC ID</t>
  </si>
  <si>
    <t>c.Fixed Appointment Details - should display  only for appointment-based services.</t>
  </si>
  <si>
    <t>Validate below details after clicking on Fixed appointment details button</t>
  </si>
  <si>
    <t>Appointment date</t>
  </si>
  <si>
    <t>Time slot</t>
  </si>
  <si>
    <t>Demand type</t>
  </si>
  <si>
    <t>Appointment Status</t>
  </si>
  <si>
    <t>Fixed Location ID</t>
  </si>
  <si>
    <t>Fixed appointment ID</t>
  </si>
  <si>
    <t>Installation notes</t>
  </si>
  <si>
    <t>--Special Condition</t>
  </si>
  <si>
    <t>3.Validate the Close button and "X" is available.</t>
  </si>
  <si>
    <t>d.Service Address Details</t>
  </si>
  <si>
    <t>Validate below details after clicking on Service address details button</t>
  </si>
  <si>
    <t>Service address</t>
  </si>
  <si>
    <t>Street type</t>
  </si>
  <si>
    <t>State</t>
  </si>
  <si>
    <t>Country</t>
  </si>
  <si>
    <t>City</t>
  </si>
  <si>
    <t>Postal Code</t>
  </si>
  <si>
    <t>7.Validate the below fields are getting displayed if applicable to the Order type</t>
  </si>
  <si>
    <t>a.Order Details</t>
  </si>
  <si>
    <t>Line Item</t>
  </si>
  <si>
    <t>Order Number</t>
  </si>
  <si>
    <t>Fulfilment Order Number</t>
  </si>
  <si>
    <t>Order Status</t>
  </si>
  <si>
    <t>Connection Date</t>
  </si>
  <si>
    <t>Notification MSISDN</t>
  </si>
  <si>
    <t xml:space="preserve">eSIM Confirmation Code 
</t>
  </si>
  <si>
    <t>Promo Code</t>
  </si>
  <si>
    <t>b.Service Details</t>
  </si>
  <si>
    <t>Connection Type</t>
  </si>
  <si>
    <t>Payment Term</t>
  </si>
  <si>
    <t>C.Order Management</t>
  </si>
  <si>
    <t>QR Code Message - should display only when QR code generation is applicable.</t>
  </si>
  <si>
    <t>Port In -  should display only for Port-In transactions.</t>
  </si>
  <si>
    <t>SIM</t>
  </si>
  <si>
    <t>8.Validate below tables are displayed when Applicable Based on What's in the Order</t>
  </si>
  <si>
    <t>a.Product Details</t>
  </si>
  <si>
    <t>It should display If there are physical product is available in order</t>
  </si>
  <si>
    <t>validate the below fields in product details table</t>
  </si>
  <si>
    <t>Type</t>
  </si>
  <si>
    <t>Product</t>
  </si>
  <si>
    <t>Monthly device care</t>
  </si>
  <si>
    <t>Payment term</t>
  </si>
  <si>
    <t>Contract amount</t>
  </si>
  <si>
    <t xml:space="preserve">b.Add on Selected </t>
  </si>
  <si>
    <t>It should display If there are add-ons  available in order</t>
  </si>
  <si>
    <t>validate the below fields in Add ons Selected table</t>
  </si>
  <si>
    <t>Name</t>
  </si>
  <si>
    <t>Expiry</t>
  </si>
  <si>
    <t>c.Offers Selected</t>
  </si>
  <si>
    <t>It should display If there are offers available in order and Table hidden if no offers exist.</t>
  </si>
  <si>
    <t>validate the below fields in Offers Selected table</t>
  </si>
  <si>
    <t xml:space="preserve">Offer code </t>
  </si>
  <si>
    <t xml:space="preserve">Offer name </t>
  </si>
  <si>
    <t xml:space="preserve">Add Offer flag </t>
  </si>
  <si>
    <t xml:space="preserve">Co-exist indicator </t>
  </si>
  <si>
    <t xml:space="preserve">Offer description </t>
  </si>
  <si>
    <t xml:space="preserve">Number of services </t>
  </si>
  <si>
    <t>Mandatory indicator</t>
  </si>
  <si>
    <t>d.Charges</t>
  </si>
  <si>
    <t>It should display If there are one time charges available in order and Table hidden if no charges exist.</t>
  </si>
  <si>
    <t>validate the below fields in Charges table</t>
  </si>
  <si>
    <t xml:space="preserve">Charge type </t>
  </si>
  <si>
    <t xml:space="preserve">Description </t>
  </si>
  <si>
    <t xml:space="preserve">Charge amount </t>
  </si>
  <si>
    <t xml:space="preserve">Discount calculation </t>
  </si>
  <si>
    <t>Net Amount</t>
  </si>
  <si>
    <t xml:space="preserve">Related ID </t>
  </si>
  <si>
    <t>EEF/EUF rollover</t>
  </si>
  <si>
    <t>e.Prepayments</t>
  </si>
  <si>
    <t>It should display If there is prepayments available in order and Table hidden if no prepayment is required.</t>
  </si>
  <si>
    <t>validate the below fields in Prepayments table</t>
  </si>
  <si>
    <t xml:space="preserve">Total Prepayment </t>
  </si>
  <si>
    <t xml:space="preserve">Total MPP Prepayment </t>
  </si>
  <si>
    <t xml:space="preserve">Total APP Prepayment </t>
  </si>
  <si>
    <t>f.Shipping details</t>
  </si>
  <si>
    <t>It should display only when shippable items exist in order and Table hidden if  when no shipment is required.</t>
  </si>
  <si>
    <t>If we have unknown shipping date then it should isplay the below banner mesage</t>
  </si>
  <si>
    <t>message-"There are items in this order with an unkown shipping date.Customer will receive an SMS notification with the estimated shipping details once the fulfilment order has been submitted.</t>
  </si>
  <si>
    <t>validate the below fields in Shipping details table</t>
  </si>
  <si>
    <t>Date</t>
  </si>
  <si>
    <t>Stock availability</t>
  </si>
  <si>
    <t>validate after updated shipping details table user can check the stock availability by clicking on Perform stock check button.</t>
  </si>
  <si>
    <t>9. Validate below fields should be displayed under the Bundle and Save Discount Summary in the Order review page</t>
  </si>
  <si>
    <t>     a. MSISDN - Bundle and Save Eligible MSO voice MSISDN details should get updated.</t>
  </si>
  <si>
    <t> </t>
  </si>
  <si>
    <t>     b. Primary Service - Primary service should be updated as "Y" </t>
  </si>
  <si>
    <t>     c. Previous Plan - Purchased Voice plan details should get updated </t>
  </si>
  <si>
    <t>     d.Previous Plan B&amp;S - If the Purchased plan details are eligible for B&amp;S discount then it should displayed as "Y".</t>
  </si>
  <si>
    <t>     e.Previous Sequence - Sequence number should get updated based on the services purchased  </t>
  </si>
  <si>
    <t>     f.Previous Discount - Discount value should get updated based on the plan purchased</t>
  </si>
  <si>
    <t>     g.Target Plan - Target Plan details should get updated as same as Purchased plan details</t>
  </si>
  <si>
    <t>     h.Target Sequence -Sequence number should get updated based on the services purchased  </t>
  </si>
  <si>
    <t>     i. Target Plan B&amp;S -If the target plan details are eligible for B&amp;S discount then it should displayed as "Y".</t>
  </si>
  <si>
    <t>     j.Target Discount-Discount value and discount name should get updated based on the plan purchased</t>
  </si>
  <si>
    <t>     k. Comments -</t>
  </si>
  <si>
    <t>     l.Recalculate Button - Recalculate CTA Button should be enabled to verify the MSISDN, purchased plan and Discount values updated.</t>
  </si>
  <si>
    <t xml:space="preserve">10.Validate below shipping address details should get updated with the below field values populated.
 </t>
  </si>
  <si>
    <t xml:space="preserve">a. Customer details 
     </t>
  </si>
  <si>
    <t>Title - Drop down should get updated .</t>
  </si>
  <si>
    <t>Attention to - Customer name should get updated</t>
  </si>
  <si>
    <t xml:space="preserve">b.Shipping details </t>
  </si>
  <si>
    <t xml:space="preserve">Business name </t>
  </si>
  <si>
    <t>Address Type</t>
  </si>
  <si>
    <t xml:space="preserve"> Address - Customer Address should get updated with two other check boxes below </t>
  </si>
  <si>
    <t>Manual Address - To Update the address manually</t>
  </si>
  <si>
    <t>Same as Primary address - To update the same primary address</t>
  </si>
  <si>
    <t>Shipment Preference - Shipment preference should get updated based on the drop down option</t>
  </si>
  <si>
    <t>c.Shipment Notification</t>
  </si>
  <si>
    <t>Validate Notification Method, Notification MSISDN and Notification email fields should get populated based on delivery notifications</t>
  </si>
  <si>
    <t>Notification Method - Notification Method should be updated as Txt or Email .</t>
  </si>
  <si>
    <t>Notification MSISDN - Notification MSISDN details should be updated .</t>
  </si>
  <si>
    <t>Notification email - Customer's email address should get updated and validate CTA button should be enabled to verify the email address.</t>
  </si>
  <si>
    <t>10.Validate below fields should be available under alidation messages to verify the messages</t>
  </si>
  <si>
    <t>a.Override SMS - Checkbox should be available</t>
  </si>
  <si>
    <t>b.2 way SMS MSISDN </t>
  </si>
  <si>
    <t>Text box should be auto populated with the MSISDN details and PICK MSISDN CTA button should be enabled.</t>
  </si>
  <si>
    <t>Banner should get displayed with the message "2 way SMS will sent to this MSISDN. Inform Customer to reply for SMS so that order can be processed.</t>
  </si>
  <si>
    <t>Refresh CTA button should be available to refresh the validation message section.</t>
  </si>
  <si>
    <t>Paperless Bypass Reason - Drop down should be available to choose the reason and text message "The Customer will be sent an SMS on completion of this transaction.</t>
  </si>
  <si>
    <t>11.Validate that 'Terms &amp; condition' section should be displayed in Order Review page with below details for the user with responsibility 'Type  : VHA_FUNCTION_ACCESS_RESP Value : Sales Manual SMS Rationalization'</t>
  </si>
  <si>
    <t>a. Banner with  message 'Reminder to review terms &amp;conditions with customer'</t>
  </si>
  <si>
    <t>b. Message ' &lt;Decision Maker Name&gt; will receive the following Terms &amp; Condition SMS '</t>
  </si>
  <si>
    <t>c. Existing Contacts drop down button with below user contact numbers and 'Send mandatory SMS now' button with enabled status.</t>
  </si>
  <si>
    <t>&lt;Contact Number&gt;(Account Holder)</t>
  </si>
  <si>
    <t>&lt;Contact Number&gt;(Authorised) -display only for Existing customer</t>
  </si>
  <si>
    <t>d. SMS Customer Order Table with column 'Order type ,MSISDN ,Item in cart ,Included mandatory SMS'</t>
  </si>
  <si>
    <t>Order type-&gt;New connect</t>
  </si>
  <si>
    <t>MSISDN-&gt; Service MSISDN(614XXXXX) </t>
  </si>
  <si>
    <t>Item in cart-&gt;(selected Plan)</t>
  </si>
  <si>
    <t>Included mandatory SMS -&gt;List of SMS send to customer</t>
  </si>
  <si>
    <t>•  Validate that agent/user allowed to select Account Holder/Authorised contact number from existing contacts drop down and click the 'Send mandatory SMS now button.</t>
  </si>
  <si>
    <t>•  Validate that 'Send mandatory SMS now' button changed into 'Mandatory SMS sent'  with tick mark and it should be disabled </t>
  </si>
  <si>
    <t>•  Validate  'Mandatory SMS sent' inline message with green round tick mark symbol should  display under Existing contact drop down</t>
  </si>
  <si>
    <t>•  Validate that SMS should be triggered and sent to customer successfully</t>
  </si>
  <si>
    <t>•  Validate that  Automatic mandatory SMS should not  be triggered and sent to customer after complete the order.</t>
  </si>
  <si>
    <t>12.Validate the generate contract section with below fields</t>
  </si>
  <si>
    <t>Order file name should get updated if any contract has been generated already.</t>
  </si>
  <si>
    <t>Validate Sales person , External reference ID, Approval ID text boxes should be available .</t>
  </si>
  <si>
    <t>Generate Contract CTA button should be enabled to generate the contract details for purchased items.</t>
  </si>
  <si>
    <t>Send Email CTA button should be in disabled Status.</t>
  </si>
  <si>
    <t>Back to cart , Pause Order , Back and Next CTA buttons should be available at the bottom of the page.</t>
  </si>
  <si>
    <t>New Connect - Fixed -Order review</t>
  </si>
  <si>
    <t>1.Validate the Order Type section is displayed with below details</t>
  </si>
  <si>
    <t>2.Validate that below buttons are getting displayed in order review page if applicable</t>
  </si>
  <si>
    <t>3.Validate the below fields are getting displayed if applicable to the Order type</t>
  </si>
  <si>
    <t>eSIM Confirmation Code 
Hidden for Physical SIM orders.</t>
  </si>
  <si>
    <t>speedTier Availability</t>
  </si>
  <si>
    <t>Term</t>
  </si>
  <si>
    <t>Stock</t>
  </si>
  <si>
    <t>Prepayment</t>
  </si>
  <si>
    <t>Post Verifications</t>
  </si>
  <si>
    <t>Voice HS</t>
  </si>
  <si>
    <t>Contact Details</t>
  </si>
  <si>
    <t>ID Details</t>
  </si>
  <si>
    <t>Address Details</t>
  </si>
  <si>
    <t>EQ Limit</t>
  </si>
  <si>
    <t>Billing Profile</t>
  </si>
  <si>
    <t>Components Full &amp; Attributes</t>
  </si>
  <si>
    <t>IMEI History</t>
  </si>
  <si>
    <t>Activity</t>
  </si>
  <si>
    <t>Order Page</t>
  </si>
  <si>
    <t>SSJ Cart and SFJ validation</t>
  </si>
  <si>
    <t>Quote Status</t>
  </si>
  <si>
    <t>APP</t>
  </si>
  <si>
    <t>GPP</t>
  </si>
  <si>
    <t>PP Payment type</t>
  </si>
  <si>
    <t>CA</t>
  </si>
  <si>
    <t>BA</t>
  </si>
  <si>
    <t>DOM, Billsegment, Billing Method etc</t>
  </si>
  <si>
    <t>Prepayments</t>
  </si>
  <si>
    <t>GPP Contract</t>
  </si>
  <si>
    <t>APP Contract</t>
  </si>
  <si>
    <t>Asset</t>
  </si>
  <si>
    <t>Line item &amp; attributes</t>
  </si>
  <si>
    <t>Fulfilment order</t>
  </si>
  <si>
    <t>Fulfilment line item</t>
  </si>
  <si>
    <t>MTM</t>
  </si>
  <si>
    <t>Base Plan Name</t>
  </si>
  <si>
    <t>Target Plan Name</t>
  </si>
  <si>
    <t>Existing Speed Booster</t>
  </si>
  <si>
    <r>
      <t xml:space="preserve">Financial Profile
</t>
    </r>
    <r>
      <rPr>
        <sz val="10"/>
        <color rgb="FF000000"/>
        <rFont val="Aptos Narrow"/>
        <family val="2"/>
      </rPr>
      <t>No of Connections / NOCC check / Credit check Status</t>
    </r>
  </si>
  <si>
    <t>GPP History</t>
  </si>
  <si>
    <t>Manage APP</t>
  </si>
  <si>
    <r>
      <t>Attachments</t>
    </r>
    <r>
      <rPr>
        <sz val="10"/>
        <color rgb="FF000000"/>
        <rFont val="Aptos Narrow"/>
        <family val="2"/>
      </rPr>
      <t xml:space="preserve">
NSA, POP, PP</t>
    </r>
  </si>
  <si>
    <t>Business - Sole Trader</t>
  </si>
  <si>
    <t>Vision 100 Plan</t>
  </si>
  <si>
    <t>Vision 250 Plan</t>
  </si>
  <si>
    <t>Essential+ Plan</t>
  </si>
  <si>
    <t>Fast+ Plan</t>
  </si>
  <si>
    <t>Basic Plan</t>
  </si>
  <si>
    <t>Essential Plan</t>
  </si>
  <si>
    <t>Fast Plan</t>
  </si>
  <si>
    <t>Speed Upgrade/ Downgrade</t>
  </si>
  <si>
    <t>New Speed Booster</t>
  </si>
  <si>
    <t>Passed</t>
  </si>
  <si>
    <t>Failed</t>
  </si>
  <si>
    <t>Blocked</t>
  </si>
  <si>
    <t>No Run</t>
  </si>
  <si>
    <t>ICM_SFJ_Fixed Complex E2E Orders_SIT_TOM001</t>
  </si>
  <si>
    <t>A valid SSJ Journey for additional connect Fixed and an upgrade for existing SIMO Service</t>
  </si>
  <si>
    <t>SC13</t>
  </si>
  <si>
    <t>Speed Upgrade Essential+</t>
  </si>
  <si>
    <t>1 TC for Coverage Check
1 TC for Quote
1 TC for Fulfilment
1 TC for Post verification</t>
  </si>
  <si>
    <t>Upgrade Postpay</t>
  </si>
  <si>
    <t>ICM_SFJ_Fixed Complex E2E Orders_SIT_TOM002</t>
  </si>
  <si>
    <t>A valid SSJ Journey to upgrade existing Fixed service and an additional SIMO Service</t>
  </si>
  <si>
    <t>Upgrade Fixed</t>
  </si>
  <si>
    <t>Basic</t>
  </si>
  <si>
    <t>Speed Upgrade Essential</t>
  </si>
  <si>
    <t>Connect Postpay</t>
  </si>
  <si>
    <t>ICM_SFJ_Fixed Complex E2E Orders_SIT_TOM003</t>
  </si>
  <si>
    <t>A valid SSJ Journey to upgrade existing Fixed service and to upgrade existing SIMO Service</t>
  </si>
  <si>
    <t>Upgrade</t>
  </si>
  <si>
    <t>ICM_SFJ_Fixed Complex E2E Orders_SIT_TOM004</t>
  </si>
  <si>
    <t>A valid SSJ Journey to upgrade existing Fixed service and Upgrade RPC for Voice</t>
  </si>
  <si>
    <t>Upgrade Postpay - RPC</t>
  </si>
  <si>
    <t>ICM_SFJ_Fixed Complex E2E Orders_SIT_TOM005</t>
  </si>
  <si>
    <t>Yes-5G</t>
  </si>
  <si>
    <t>A valid SSJ Journey for additional connect Fixed and an upgrade for existing Voice Service</t>
  </si>
  <si>
    <t>ICM_SFJ_Fixed Complex E2E Orders_SIT_TOM006</t>
  </si>
  <si>
    <t>A valid SSJ Journey to upgrade existing Fixed Service and existing SIMO Service and an additional Voice Service</t>
  </si>
  <si>
    <t>Speed Upgrade nbn Home Superfast</t>
  </si>
  <si>
    <t>Speed Upgrade Home Fast+</t>
  </si>
  <si>
    <t>ICM_SFJ_Fixed Complex E2E Orders_SIT_TOM007</t>
  </si>
  <si>
    <t>Yes-4G</t>
  </si>
  <si>
    <t>A valid SSJ Journey to upgrade existing Handset Service and an additional Voice and Fixed Service</t>
  </si>
  <si>
    <t>Speed Upgrade Home Fast</t>
  </si>
  <si>
    <t>ICM_SFJ_Fixed Complex E2E Orders_SIT_TOM008</t>
  </si>
  <si>
    <t>FTTH</t>
  </si>
  <si>
    <t>ICM_SFJ_Fixed Complex E2E Orders_SIT_TOM009</t>
  </si>
  <si>
    <t>FTTBW</t>
  </si>
  <si>
    <t>Vision 50 Plan</t>
  </si>
  <si>
    <t>ICM_SFJ_Fixed Complex E2E Orders_SIT_TOM010</t>
  </si>
  <si>
    <t>ICM_SFJ_Fixed Complex E2E Orders_SIT_TOM011</t>
  </si>
  <si>
    <t>Upgrade Postpay - Change Prop</t>
  </si>
  <si>
    <t>ICM_SFJ_Fixed Complex E2E Orders_SIT_TOM012</t>
  </si>
  <si>
    <t>ICM_SFJ_Fixed Complex E2E Orders_SIT_TOM013</t>
  </si>
  <si>
    <t>A valid SSJ Journey to upgrade existing Voice service and an additional Fixed Service</t>
  </si>
  <si>
    <t>Modem Selection for FWA- Tech Feasibility ?</t>
  </si>
  <si>
    <t xml:space="preserve">Opticomm details as per OneSQ details												
		Internet Location Id (Ex: OPC740100003843 )										
		Service Class X										
		Technology Type XXXX	
		Technology Description XXXX				
		New Development  N/A
 Maximum Attainable Speed XXXX
 Fiber Upgrade N/A		
NTD Details
 Number of active services  0(Out of 0)
 Total capacity
 In use
 Remaining
		</t>
  </si>
  <si>
    <t>a. MSISDN search box with Allocation button ,Once allocated name should be changed into deallocate under Number assignment												
b. If Modem is BYO, Product details should not be displayed
b. If Modem is available, Selected Device name should be populated under product details												
         1. Fixed NBN -Modem - Arcadyan												
         2. Opticom -Modem - Arcadyan												
         3. Vison -Modem - TPLink with 4G backup SIM											
         4. FWA 4G -Modem - TPLink Modem - Refurb												
         5. FWA 5G -Modem - Arcadyan Modem - Refurb												
c. IMEI/serial# text box with validate button should be displayed  for Instock Modem, Should not be displayed for Out of Stock modem			
e. SIM details should not be displayed if Modem doesn't have backup SIM. Physical SIM input field should be available for Instock Modem with 4G backup. ESIm option should not be displayed for any modem category
f.  payment RRP $x.xxxx of Modem												
3.Validate Ring and collect details should not  be displayed with Reserve store stock button for Fixed, service, It should be available for FWA services</t>
  </si>
  <si>
    <t>Vision details												
		Internet Location Id XXXXXXXXXXXX(Ex: 1003006 )										
		Service Class N/A										
		Technology Type XXXX	
		Technology Description N/A
		New Development  N/A
 Maximum Attainable Speed XXXX
 Fiber Upgrade N/A		
NTD Details
 Number of active services  0(Out of 0)
 Total capacity
 In use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</si>
</sst>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0"/>
      <color theme="1"/>
      <name val="Calibri"/>
      <family val="2"/>
    </font>
    <font>
      <sz val="10"/>
      <color theme="1"/>
      <name val="Calibri"/>
      <family val="2"/>
    </font>
    <font>
      <sz val="10"/>
      <color theme="1"/>
      <name val="Aptos Narrow"/>
      <family val="2"/>
      <scheme val="minor"/>
    </font>
    <font>
      <b/>
      <sz val="10"/>
      <color rgb="FF000000"/>
      <name val="Aptos Narrow"/>
      <family val="2"/>
    </font>
    <font>
      <sz val="10"/>
      <color rgb="FF000000"/>
      <name val="Aptos Narrow"/>
      <family val="2"/>
    </font>
    <font>
      <sz val="11"/>
      <color rgb="FF000000"/>
      <name val="Aptos Narrow"/>
      <family val="2"/>
    </font>
    <font>
      <sz val="10"/>
      <name val="Aptos Narrow"/>
      <family val="2"/>
      <scheme val="minor"/>
    </font>
    <font>
      <b/>
      <sz val="11"/>
      <color rgb="FF000000"/>
      <name val="Aptos Narrow"/>
      <family val="2"/>
    </font>
    <font>
      <sz val="10"/>
      <name val="Aptos Narrow"/>
      <family val="2"/>
    </font>
    <font>
      <b/>
      <sz val="11"/>
      <color theme="1"/>
      <name val="Aptos Narrow"/>
      <family val="2"/>
      <scheme val="minor"/>
    </font>
    <font>
      <sz val="12"/>
      <color rgb="FF222222"/>
      <name val="Arial"/>
      <family val="2"/>
    </font>
    <font>
      <sz val="8"/>
      <name val="Aptos Narrow"/>
      <family val="2"/>
      <scheme val="minor"/>
    </font>
    <font>
      <b/>
      <sz val="10"/>
      <color theme="0"/>
      <name val="Aptos Narrow"/>
      <family val="2"/>
    </font>
    <font>
      <sz val="10"/>
      <color theme="0"/>
      <name val="Aptos Narrow"/>
      <family val="2"/>
      <scheme val="minor"/>
    </font>
    <font>
      <sz val="10"/>
      <color rgb="FF000000"/>
      <name val="Aptos Narrow"/>
      <family val="2"/>
      <scheme val="minor"/>
    </font>
    <font>
      <b/>
      <sz val="10"/>
      <color rgb="FF000000"/>
      <name val="Aptos Narrow"/>
      <family val="2"/>
      <scheme val="minor"/>
    </font>
    <font>
      <sz val="10"/>
      <color theme="1"/>
      <name val="Aptos Narrow"/>
      <family val="2"/>
    </font>
    <font>
      <b/>
      <sz val="10"/>
      <color theme="1"/>
      <name val="Aptos Narrow"/>
      <family val="2"/>
    </font>
    <font>
      <sz val="10"/>
      <color rgb="FF242424"/>
      <name val="Aptos Narrow"/>
      <family val="2"/>
    </font>
    <font>
      <b/>
      <sz val="11"/>
      <color theme="0"/>
      <name val="Aptos Narrow"/>
      <family val="2"/>
      <scheme val="minor"/>
    </font>
    <font>
      <b/>
      <sz val="9"/>
      <color theme="0"/>
      <name val="Calibri"/>
      <family val="2"/>
    </font>
    <font>
      <sz val="9"/>
      <color theme="1"/>
      <name val="Calibri"/>
      <family val="2"/>
    </font>
    <font>
      <sz val="11"/>
      <color theme="0"/>
      <name val="Aptos Narrow"/>
      <family val="2"/>
    </font>
    <font>
      <b/>
      <sz val="11"/>
      <color theme="0"/>
      <name val="Aptos Narrow"/>
      <family val="2"/>
    </font>
    <font>
      <b/>
      <sz val="10"/>
      <color theme="0"/>
      <name val="Calibri"/>
      <family val="2"/>
    </font>
    <font>
      <b/>
      <sz val="10"/>
      <color theme="0"/>
      <name val="Aptos Narrow"/>
      <family val="2"/>
      <scheme val="minor"/>
    </font>
  </fonts>
  <fills count="17">
    <fill>
      <patternFill patternType="none"/>
    </fill>
    <fill>
      <patternFill patternType="gray125"/>
    </fill>
    <fill>
      <patternFill patternType="solid">
        <fgColor theme="0"/>
        <bgColor indexed="64"/>
      </patternFill>
    </fill>
    <fill>
      <patternFill patternType="solid">
        <fgColor rgb="FF83CCEB"/>
        <bgColor rgb="FF000000"/>
      </patternFill>
    </fill>
    <fill>
      <patternFill patternType="solid">
        <fgColor rgb="FFFFFF00"/>
        <bgColor indexed="64"/>
      </patternFill>
    </fill>
    <fill>
      <patternFill patternType="solid">
        <fgColor theme="3" tint="0.89999084444715716"/>
        <bgColor indexed="64"/>
      </patternFill>
    </fill>
    <fill>
      <patternFill patternType="solid">
        <fgColor rgb="FFA6C9EC"/>
        <bgColor rgb="FF000000"/>
      </patternFill>
    </fill>
    <fill>
      <patternFill patternType="solid">
        <fgColor rgb="FFB5E6A2"/>
        <bgColor rgb="FF000000"/>
      </patternFill>
    </fill>
    <fill>
      <patternFill patternType="solid">
        <fgColor rgb="FFFF0000"/>
        <bgColor indexed="64"/>
      </patternFill>
    </fill>
    <fill>
      <patternFill patternType="solid">
        <fgColor rgb="FFFFC000"/>
        <bgColor indexed="64"/>
      </patternFill>
    </fill>
    <fill>
      <patternFill patternType="solid">
        <fgColor rgb="FFFFFFFF"/>
        <bgColor indexed="64"/>
      </patternFill>
    </fill>
    <fill>
      <patternFill patternType="solid">
        <fgColor rgb="FF002060"/>
        <bgColor rgb="FF000000"/>
      </patternFill>
    </fill>
    <fill>
      <patternFill patternType="solid">
        <fgColor rgb="FF00206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39997558519241921"/>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rgb="FF000000"/>
      </left>
      <right/>
      <top style="thin">
        <color rgb="FF000000"/>
      </top>
      <bottom/>
      <diagonal/>
    </border>
    <border>
      <left style="thin">
        <color rgb="FF000000"/>
      </left>
      <right/>
      <top/>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rgb="FF000000"/>
      </left>
      <right/>
      <top/>
      <bottom style="thin">
        <color indexed="64"/>
      </bottom>
      <diagonal/>
    </border>
    <border>
      <left style="thin">
        <color rgb="FF000000"/>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indexed="64"/>
      </top>
      <bottom style="thin">
        <color indexed="64"/>
      </bottom>
      <diagonal/>
    </border>
    <border>
      <left/>
      <right/>
      <top/>
      <bottom style="thin">
        <color rgb="FF000000"/>
      </bottom>
      <diagonal/>
    </border>
  </borders>
  <cellStyleXfs count="1">
    <xf numFmtId="0" fontId="0" fillId="0" borderId="0"/>
  </cellStyleXfs>
  <cellXfs count="199">
    <xf numFmtId="0" fontId="0" fillId="0" borderId="0" xfId="0"/>
    <xf numFmtId="0" fontId="2" fillId="0" borderId="1" xfId="0" applyFont="1" applyBorder="1" applyAlignment="1">
      <alignment horizontal="center" vertical="top"/>
    </xf>
    <xf numFmtId="0" fontId="0" fillId="2" borderId="0" xfId="0" applyFill="1"/>
    <xf numFmtId="0" fontId="5" fillId="0" borderId="1" xfId="0" applyFont="1" applyBorder="1" applyAlignment="1">
      <alignment vertical="top"/>
    </xf>
    <xf numFmtId="0" fontId="5" fillId="0" borderId="0" xfId="0" applyFont="1" applyAlignment="1">
      <alignment vertical="top" wrapText="1"/>
    </xf>
    <xf numFmtId="0" fontId="5" fillId="0" borderId="7" xfId="0" applyFont="1" applyBorder="1" applyAlignment="1">
      <alignment vertical="top"/>
    </xf>
    <xf numFmtId="0" fontId="6" fillId="0" borderId="0" xfId="0" applyFont="1"/>
    <xf numFmtId="0" fontId="5" fillId="0" borderId="1" xfId="0" applyFont="1" applyBorder="1"/>
    <xf numFmtId="0" fontId="5" fillId="0" borderId="7" xfId="0" applyFont="1" applyBorder="1"/>
    <xf numFmtId="16" fontId="0" fillId="0" borderId="0" xfId="0" applyNumberFormat="1"/>
    <xf numFmtId="0" fontId="4" fillId="3" borderId="9" xfId="0" applyFont="1" applyFill="1" applyBorder="1"/>
    <xf numFmtId="0" fontId="5" fillId="0" borderId="15" xfId="0" applyFont="1" applyBorder="1"/>
    <xf numFmtId="0" fontId="5" fillId="0" borderId="15" xfId="0" applyFont="1" applyBorder="1" applyAlignment="1">
      <alignment vertical="top"/>
    </xf>
    <xf numFmtId="0" fontId="5" fillId="0" borderId="1" xfId="0" applyFont="1" applyBorder="1" applyAlignment="1">
      <alignment wrapText="1"/>
    </xf>
    <xf numFmtId="0" fontId="5" fillId="0" borderId="1" xfId="0" applyFont="1" applyBorder="1" applyAlignment="1">
      <alignment vertical="top" wrapText="1"/>
    </xf>
    <xf numFmtId="0" fontId="5" fillId="0" borderId="16" xfId="0" applyFont="1" applyBorder="1" applyAlignment="1">
      <alignment vertical="top"/>
    </xf>
    <xf numFmtId="0" fontId="5" fillId="0" borderId="0" xfId="0" applyFont="1" applyAlignment="1">
      <alignment vertical="top"/>
    </xf>
    <xf numFmtId="0" fontId="4" fillId="3" borderId="11" xfId="0" applyFont="1" applyFill="1" applyBorder="1"/>
    <xf numFmtId="0" fontId="5" fillId="0" borderId="3" xfId="0" applyFont="1" applyBorder="1"/>
    <xf numFmtId="0" fontId="5" fillId="0" borderId="2" xfId="0" applyFont="1" applyBorder="1" applyAlignment="1">
      <alignment vertical="top"/>
    </xf>
    <xf numFmtId="0" fontId="5" fillId="0" borderId="17" xfId="0" applyFont="1" applyBorder="1" applyAlignment="1">
      <alignment vertical="top" wrapText="1"/>
    </xf>
    <xf numFmtId="0" fontId="4" fillId="3" borderId="11" xfId="0" applyFont="1" applyFill="1" applyBorder="1" applyAlignment="1">
      <alignment wrapText="1"/>
    </xf>
    <xf numFmtId="0" fontId="5" fillId="0" borderId="17" xfId="0" applyFont="1" applyBorder="1" applyAlignment="1">
      <alignment vertical="top"/>
    </xf>
    <xf numFmtId="0" fontId="5" fillId="0" borderId="13" xfId="0" applyFont="1" applyBorder="1" applyAlignment="1">
      <alignment vertical="top"/>
    </xf>
    <xf numFmtId="0" fontId="0" fillId="8" borderId="0" xfId="0" applyFill="1"/>
    <xf numFmtId="0" fontId="5" fillId="0" borderId="4" xfId="0" applyFont="1" applyBorder="1"/>
    <xf numFmtId="0" fontId="10" fillId="0" borderId="4" xfId="0" applyFont="1" applyBorder="1"/>
    <xf numFmtId="0" fontId="0" fillId="0" borderId="1" xfId="0" applyBorder="1" applyAlignment="1">
      <alignment horizontal="center" vertical="top"/>
    </xf>
    <xf numFmtId="0" fontId="0" fillId="0" borderId="0" xfId="0" applyAlignment="1">
      <alignment horizontal="center" vertical="top"/>
    </xf>
    <xf numFmtId="0" fontId="5" fillId="8" borderId="17" xfId="0" applyFont="1" applyFill="1" applyBorder="1" applyAlignment="1">
      <alignment vertical="top" wrapText="1"/>
    </xf>
    <xf numFmtId="0" fontId="5" fillId="8" borderId="15" xfId="0" applyFont="1" applyFill="1" applyBorder="1" applyAlignment="1">
      <alignment vertical="top"/>
    </xf>
    <xf numFmtId="0" fontId="5" fillId="8" borderId="1" xfId="0" applyFont="1" applyFill="1" applyBorder="1"/>
    <xf numFmtId="0" fontId="5" fillId="9" borderId="1" xfId="0" applyFont="1" applyFill="1" applyBorder="1" applyAlignment="1">
      <alignment vertical="top" wrapText="1"/>
    </xf>
    <xf numFmtId="0" fontId="5" fillId="9" borderId="1" xfId="0" applyFont="1" applyFill="1" applyBorder="1" applyAlignment="1">
      <alignment vertical="top"/>
    </xf>
    <xf numFmtId="0" fontId="4" fillId="3" borderId="12" xfId="0" applyFont="1" applyFill="1" applyBorder="1" applyAlignment="1">
      <alignment horizontal="center" vertical="top"/>
    </xf>
    <xf numFmtId="0" fontId="5" fillId="0" borderId="1" xfId="0" applyFont="1" applyBorder="1" applyAlignment="1">
      <alignment horizontal="center" vertical="top"/>
    </xf>
    <xf numFmtId="0" fontId="5" fillId="0" borderId="8" xfId="0" applyFont="1" applyBorder="1"/>
    <xf numFmtId="0" fontId="0" fillId="0" borderId="7" xfId="0" applyBorder="1" applyAlignment="1">
      <alignment horizontal="center" vertical="top"/>
    </xf>
    <xf numFmtId="0" fontId="5" fillId="0" borderId="8" xfId="0" applyFont="1" applyBorder="1" applyAlignment="1">
      <alignment wrapText="1"/>
    </xf>
    <xf numFmtId="0" fontId="0" fillId="0" borderId="8" xfId="0" applyBorder="1" applyAlignment="1">
      <alignment horizontal="center" vertical="top"/>
    </xf>
    <xf numFmtId="0" fontId="5" fillId="9" borderId="3" xfId="0" applyFont="1" applyFill="1" applyBorder="1"/>
    <xf numFmtId="0" fontId="5" fillId="9" borderId="1" xfId="0" applyFont="1" applyFill="1" applyBorder="1"/>
    <xf numFmtId="0" fontId="5" fillId="9" borderId="1" xfId="0" applyFont="1" applyFill="1" applyBorder="1" applyAlignment="1">
      <alignment wrapText="1"/>
    </xf>
    <xf numFmtId="0" fontId="5" fillId="9" borderId="1" xfId="0" applyFont="1" applyFill="1" applyBorder="1" applyAlignment="1">
      <alignment horizontal="center" vertical="top" wrapText="1"/>
    </xf>
    <xf numFmtId="0" fontId="0" fillId="9" borderId="0" xfId="0" applyFill="1"/>
    <xf numFmtId="0" fontId="0" fillId="9" borderId="1" xfId="0" applyFill="1" applyBorder="1" applyAlignment="1">
      <alignment horizontal="center" vertical="top"/>
    </xf>
    <xf numFmtId="0" fontId="8" fillId="0" borderId="0" xfId="0" applyFont="1"/>
    <xf numFmtId="0" fontId="6" fillId="0" borderId="0" xfId="0" applyFont="1" applyAlignment="1">
      <alignment horizontal="center"/>
    </xf>
    <xf numFmtId="0" fontId="8" fillId="0" borderId="0" xfId="0" applyFont="1" applyAlignment="1">
      <alignment horizontal="center"/>
    </xf>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0" fillId="0" borderId="4" xfId="0" applyBorder="1"/>
    <xf numFmtId="0" fontId="11" fillId="10" borderId="0" xfId="0" applyFont="1" applyFill="1" applyAlignment="1">
      <alignment wrapText="1"/>
    </xf>
    <xf numFmtId="0" fontId="5" fillId="8" borderId="17" xfId="0" applyFont="1" applyFill="1" applyBorder="1" applyAlignment="1">
      <alignment vertical="top"/>
    </xf>
    <xf numFmtId="0" fontId="5" fillId="8" borderId="1" xfId="0" applyFont="1" applyFill="1" applyBorder="1" applyAlignment="1">
      <alignment horizontal="center" vertical="top"/>
    </xf>
    <xf numFmtId="0" fontId="0" fillId="0" borderId="1" xfId="0" applyBorder="1"/>
    <xf numFmtId="0" fontId="5" fillId="2" borderId="4" xfId="0" applyFont="1" applyFill="1" applyBorder="1"/>
    <xf numFmtId="0" fontId="5" fillId="0" borderId="10" xfId="0" applyFont="1" applyBorder="1"/>
    <xf numFmtId="0" fontId="0" fillId="2" borderId="4" xfId="0" applyFill="1" applyBorder="1"/>
    <xf numFmtId="0" fontId="0" fillId="4" borderId="0" xfId="0" applyFill="1"/>
    <xf numFmtId="0" fontId="3" fillId="0" borderId="0" xfId="0" applyFont="1"/>
    <xf numFmtId="0" fontId="0" fillId="0" borderId="0" xfId="0" applyAlignment="1">
      <alignment vertical="top"/>
    </xf>
    <xf numFmtId="0" fontId="0" fillId="0" borderId="0" xfId="0" applyAlignment="1">
      <alignment horizontal="left" vertical="top"/>
    </xf>
    <xf numFmtId="0" fontId="0" fillId="0" borderId="0" xfId="0" applyAlignment="1">
      <alignment wrapText="1"/>
    </xf>
    <xf numFmtId="0" fontId="9" fillId="2" borderId="0" xfId="0" applyFont="1" applyFill="1" applyAlignment="1">
      <alignment horizontal="left" vertical="top"/>
    </xf>
    <xf numFmtId="0" fontId="13" fillId="11" borderId="4" xfId="0" applyFont="1" applyFill="1" applyBorder="1" applyAlignment="1">
      <alignment horizontal="left" vertical="top"/>
    </xf>
    <xf numFmtId="0" fontId="14" fillId="12" borderId="0" xfId="0" applyFont="1" applyFill="1" applyAlignment="1">
      <alignment horizontal="left" vertical="top"/>
    </xf>
    <xf numFmtId="0" fontId="7" fillId="2" borderId="0" xfId="0" applyFont="1" applyFill="1" applyAlignment="1">
      <alignment horizontal="left" vertical="top"/>
    </xf>
    <xf numFmtId="0" fontId="3" fillId="0" borderId="0" xfId="0" applyFont="1" applyAlignment="1">
      <alignment horizontal="left" vertical="top"/>
    </xf>
    <xf numFmtId="0" fontId="9" fillId="2" borderId="0" xfId="0" applyFont="1" applyFill="1" applyAlignment="1">
      <alignment horizontal="left" vertical="top" wrapText="1"/>
    </xf>
    <xf numFmtId="0" fontId="3" fillId="2" borderId="0" xfId="0" applyFont="1" applyFill="1" applyAlignment="1">
      <alignment horizontal="left" vertical="top"/>
    </xf>
    <xf numFmtId="0" fontId="9" fillId="13" borderId="4" xfId="0" applyFont="1" applyFill="1" applyBorder="1" applyAlignment="1">
      <alignment horizontal="left" vertical="top"/>
    </xf>
    <xf numFmtId="0" fontId="7" fillId="13" borderId="0" xfId="0" applyFont="1" applyFill="1" applyAlignment="1">
      <alignment horizontal="left" vertical="top"/>
    </xf>
    <xf numFmtId="0" fontId="9" fillId="13" borderId="6" xfId="0" applyFont="1" applyFill="1" applyBorder="1" applyAlignment="1">
      <alignment horizontal="left" vertical="top"/>
    </xf>
    <xf numFmtId="0" fontId="9" fillId="5" borderId="4" xfId="0" applyFont="1" applyFill="1" applyBorder="1" applyAlignment="1">
      <alignment horizontal="left" vertical="top"/>
    </xf>
    <xf numFmtId="0" fontId="7" fillId="5" borderId="0" xfId="0" applyFont="1" applyFill="1" applyAlignment="1">
      <alignment horizontal="left" vertical="top"/>
    </xf>
    <xf numFmtId="0" fontId="9" fillId="13" borderId="4" xfId="0" applyFont="1" applyFill="1" applyBorder="1" applyAlignment="1">
      <alignment horizontal="left" vertical="top" wrapText="1"/>
    </xf>
    <xf numFmtId="0" fontId="3" fillId="14" borderId="0" xfId="0" applyFont="1" applyFill="1"/>
    <xf numFmtId="0" fontId="3" fillId="9" borderId="0" xfId="0" applyFont="1" applyFill="1"/>
    <xf numFmtId="0" fontId="3" fillId="0" borderId="0" xfId="0" applyFont="1" applyAlignment="1">
      <alignment horizontal="left" indent="2"/>
    </xf>
    <xf numFmtId="0" fontId="3" fillId="4" borderId="0" xfId="0" applyFont="1" applyFill="1"/>
    <xf numFmtId="0" fontId="3" fillId="8" borderId="0" xfId="0" applyFont="1" applyFill="1"/>
    <xf numFmtId="0" fontId="3" fillId="2" borderId="0" xfId="0" applyFont="1" applyFill="1"/>
    <xf numFmtId="0" fontId="3" fillId="15" borderId="0" xfId="0" applyFont="1" applyFill="1"/>
    <xf numFmtId="0" fontId="3" fillId="5" borderId="0" xfId="0" applyFont="1" applyFill="1"/>
    <xf numFmtId="0" fontId="9" fillId="5" borderId="4" xfId="0" applyFont="1" applyFill="1" applyBorder="1" applyAlignment="1">
      <alignment horizontal="left" vertical="top" wrapText="1"/>
    </xf>
    <xf numFmtId="0" fontId="9" fillId="13" borderId="10" xfId="0" applyFont="1" applyFill="1" applyBorder="1" applyAlignment="1">
      <alignment horizontal="left" vertical="top"/>
    </xf>
    <xf numFmtId="0" fontId="9" fillId="13" borderId="9" xfId="0" applyFont="1" applyFill="1" applyBorder="1" applyAlignment="1">
      <alignment horizontal="left" vertical="top"/>
    </xf>
    <xf numFmtId="0" fontId="7" fillId="13" borderId="4" xfId="0" applyFont="1" applyFill="1" applyBorder="1" applyAlignment="1">
      <alignment horizontal="left" vertical="top"/>
    </xf>
    <xf numFmtId="0" fontId="0" fillId="5" borderId="0" xfId="0" applyFill="1" applyAlignment="1">
      <alignment horizontal="left" vertical="top"/>
    </xf>
    <xf numFmtId="0" fontId="15" fillId="2" borderId="0" xfId="0" applyFont="1" applyFill="1"/>
    <xf numFmtId="0" fontId="17" fillId="4" borderId="0" xfId="0" applyFont="1" applyFill="1"/>
    <xf numFmtId="0" fontId="17" fillId="0" borderId="0" xfId="0" applyFont="1"/>
    <xf numFmtId="0" fontId="18" fillId="0" borderId="0" xfId="0" applyFont="1"/>
    <xf numFmtId="0" fontId="19" fillId="10" borderId="0" xfId="0" applyFont="1" applyFill="1"/>
    <xf numFmtId="0" fontId="5" fillId="0" borderId="7" xfId="0" applyFont="1" applyBorder="1" applyAlignment="1">
      <alignment vertical="top" wrapText="1"/>
    </xf>
    <xf numFmtId="0" fontId="9" fillId="13" borderId="10" xfId="0" applyFont="1" applyFill="1" applyBorder="1" applyAlignment="1">
      <alignment horizontal="left" vertical="top" wrapText="1"/>
    </xf>
    <xf numFmtId="0" fontId="17" fillId="2" borderId="0" xfId="0" applyFont="1" applyFill="1"/>
    <xf numFmtId="0" fontId="5" fillId="2" borderId="0" xfId="0" applyFont="1" applyFill="1"/>
    <xf numFmtId="0" fontId="5" fillId="2" borderId="0" xfId="0" quotePrefix="1" applyFont="1" applyFill="1"/>
    <xf numFmtId="0" fontId="3" fillId="16" borderId="0" xfId="0" applyFont="1" applyFill="1"/>
    <xf numFmtId="16" fontId="0" fillId="0" borderId="0" xfId="0" applyNumberFormat="1" applyAlignment="1">
      <alignment horizontal="left"/>
    </xf>
    <xf numFmtId="0" fontId="9" fillId="5" borderId="6" xfId="0" applyFont="1" applyFill="1" applyBorder="1" applyAlignment="1">
      <alignment horizontal="left" vertical="top"/>
    </xf>
    <xf numFmtId="0" fontId="7" fillId="13" borderId="9" xfId="0" applyFont="1" applyFill="1" applyBorder="1" applyAlignment="1">
      <alignment horizontal="left" vertical="top"/>
    </xf>
    <xf numFmtId="16" fontId="9" fillId="13" borderId="4" xfId="0" quotePrefix="1" applyNumberFormat="1" applyFont="1" applyFill="1" applyBorder="1" applyAlignment="1">
      <alignment horizontal="left" vertical="top"/>
    </xf>
    <xf numFmtId="0" fontId="9" fillId="13" borderId="4" xfId="0" quotePrefix="1" applyFont="1" applyFill="1" applyBorder="1" applyAlignment="1">
      <alignment horizontal="left" vertical="top"/>
    </xf>
    <xf numFmtId="0" fontId="9" fillId="13" borderId="22" xfId="0" applyFont="1" applyFill="1" applyBorder="1" applyAlignment="1">
      <alignment horizontal="left" vertical="top"/>
    </xf>
    <xf numFmtId="0" fontId="13" fillId="11" borderId="4" xfId="0" applyFont="1" applyFill="1" applyBorder="1" applyAlignment="1">
      <alignment horizontal="left" vertical="top" wrapText="1"/>
    </xf>
    <xf numFmtId="0" fontId="20" fillId="12" borderId="0" xfId="0" applyFont="1" applyFill="1"/>
    <xf numFmtId="0" fontId="0" fillId="0" borderId="0" xfId="0" applyAlignment="1">
      <alignment horizontal="left"/>
    </xf>
    <xf numFmtId="0" fontId="20" fillId="12" borderId="0" xfId="0" applyFont="1" applyFill="1" applyAlignment="1">
      <alignment horizontal="left" vertical="top"/>
    </xf>
    <xf numFmtId="0" fontId="0" fillId="0" borderId="0" xfId="0" applyAlignment="1">
      <alignment vertical="top" wrapText="1"/>
    </xf>
    <xf numFmtId="0" fontId="7" fillId="5" borderId="23" xfId="0" applyFont="1" applyFill="1" applyBorder="1" applyAlignment="1">
      <alignment horizontal="left" vertical="top" wrapText="1"/>
    </xf>
    <xf numFmtId="0" fontId="5" fillId="5" borderId="15" xfId="0" applyFont="1" applyFill="1" applyBorder="1" applyAlignment="1">
      <alignment horizontal="center" vertical="top" wrapText="1"/>
    </xf>
    <xf numFmtId="0" fontId="9" fillId="4" borderId="4" xfId="0" applyFont="1" applyFill="1" applyBorder="1" applyAlignment="1">
      <alignment horizontal="left" vertical="top"/>
    </xf>
    <xf numFmtId="0" fontId="9" fillId="4" borderId="4" xfId="0" applyFont="1" applyFill="1" applyBorder="1" applyAlignment="1">
      <alignment horizontal="left" vertical="top" wrapText="1"/>
    </xf>
    <xf numFmtId="0" fontId="21" fillId="12" borderId="0" xfId="0" applyFont="1" applyFill="1"/>
    <xf numFmtId="0" fontId="22" fillId="0" borderId="0" xfId="0" applyFont="1"/>
    <xf numFmtId="0" fontId="6" fillId="0" borderId="24" xfId="0" applyFont="1" applyBorder="1" applyAlignment="1">
      <alignment horizontal="left" vertical="top"/>
    </xf>
    <xf numFmtId="0" fontId="8" fillId="0" borderId="24" xfId="0" applyFont="1" applyBorder="1" applyAlignment="1">
      <alignment horizontal="left" vertical="top"/>
    </xf>
    <xf numFmtId="0" fontId="10" fillId="0" borderId="4" xfId="0" applyFont="1" applyBorder="1" applyAlignment="1">
      <alignment horizontal="left" vertical="top"/>
    </xf>
    <xf numFmtId="0" fontId="23" fillId="12" borderId="4" xfId="0" applyFont="1" applyFill="1" applyBorder="1" applyAlignment="1">
      <alignment horizontal="left" vertical="top"/>
    </xf>
    <xf numFmtId="0" fontId="24" fillId="11" borderId="4" xfId="0" applyFont="1" applyFill="1" applyBorder="1" applyAlignment="1">
      <alignment horizontal="left" vertical="top"/>
    </xf>
    <xf numFmtId="0" fontId="24" fillId="11" borderId="8" xfId="0" applyFont="1" applyFill="1" applyBorder="1" applyAlignment="1">
      <alignment horizontal="left" vertical="top"/>
    </xf>
    <xf numFmtId="0" fontId="24" fillId="11" borderId="25" xfId="0" applyFont="1" applyFill="1" applyBorder="1" applyAlignment="1">
      <alignment horizontal="left" vertical="top"/>
    </xf>
    <xf numFmtId="0" fontId="24" fillId="11" borderId="2" xfId="0" applyFont="1" applyFill="1" applyBorder="1" applyAlignment="1">
      <alignment horizontal="left" vertical="top"/>
    </xf>
    <xf numFmtId="0" fontId="6" fillId="0" borderId="4" xfId="0" applyFont="1" applyBorder="1" applyAlignment="1">
      <alignment horizontal="left" vertical="top"/>
    </xf>
    <xf numFmtId="0" fontId="8" fillId="0" borderId="4" xfId="0" applyFont="1" applyBorder="1" applyAlignment="1">
      <alignment horizontal="left" vertical="top"/>
    </xf>
    <xf numFmtId="0" fontId="0" fillId="2" borderId="0" xfId="0" applyFill="1" applyAlignment="1">
      <alignment vertical="top"/>
    </xf>
    <xf numFmtId="16" fontId="0" fillId="0" borderId="0" xfId="0" applyNumberFormat="1" applyAlignment="1">
      <alignment horizontal="left" vertical="top"/>
    </xf>
    <xf numFmtId="0" fontId="9" fillId="4" borderId="10" xfId="0" applyFont="1" applyFill="1" applyBorder="1" applyAlignment="1">
      <alignment horizontal="left" vertical="top" wrapText="1"/>
    </xf>
    <xf numFmtId="0" fontId="3" fillId="4" borderId="10" xfId="0" applyFont="1" applyFill="1" applyBorder="1" applyAlignment="1">
      <alignment horizontal="left" vertical="top"/>
    </xf>
    <xf numFmtId="0" fontId="0" fillId="4" borderId="9" xfId="0" applyFill="1" applyBorder="1" applyAlignment="1">
      <alignment horizontal="left" vertical="top"/>
    </xf>
    <xf numFmtId="0" fontId="7" fillId="4" borderId="0" xfId="0" applyFont="1" applyFill="1" applyAlignment="1">
      <alignment horizontal="left" vertical="top"/>
    </xf>
    <xf numFmtId="0" fontId="20" fillId="12" borderId="0" xfId="0" applyFont="1" applyFill="1" applyAlignment="1">
      <alignment vertical="top"/>
    </xf>
    <xf numFmtId="0" fontId="22" fillId="2" borderId="0" xfId="0" applyFont="1" applyFill="1"/>
    <xf numFmtId="0" fontId="0" fillId="5" borderId="0" xfId="0" applyFill="1"/>
    <xf numFmtId="0" fontId="26" fillId="12" borderId="7" xfId="0" applyFont="1" applyFill="1" applyBorder="1" applyAlignment="1">
      <alignment horizontal="left" vertical="top" wrapText="1"/>
    </xf>
    <xf numFmtId="0" fontId="26" fillId="12" borderId="13"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13" borderId="4" xfId="0" applyFont="1" applyFill="1" applyBorder="1" applyAlignment="1">
      <alignment horizontal="left" vertical="top" wrapText="1"/>
    </xf>
    <xf numFmtId="0" fontId="3" fillId="5" borderId="4" xfId="0" applyFont="1" applyFill="1" applyBorder="1" applyAlignment="1">
      <alignment vertical="top" wrapText="1"/>
    </xf>
    <xf numFmtId="0" fontId="3" fillId="5" borderId="30" xfId="0" applyFont="1" applyFill="1" applyBorder="1" applyAlignment="1">
      <alignment horizontal="left" vertical="top" wrapText="1"/>
    </xf>
    <xf numFmtId="0" fontId="3" fillId="13" borderId="4" xfId="0" applyFont="1" applyFill="1" applyBorder="1" applyAlignment="1">
      <alignment vertical="top" wrapText="1"/>
    </xf>
    <xf numFmtId="0" fontId="3" fillId="13" borderId="30" xfId="0" applyFont="1" applyFill="1" applyBorder="1" applyAlignment="1">
      <alignment horizontal="left" vertical="top" wrapText="1"/>
    </xf>
    <xf numFmtId="0" fontId="0" fillId="13" borderId="0" xfId="0" applyFill="1"/>
    <xf numFmtId="0" fontId="3" fillId="8" borderId="4" xfId="0" applyFont="1" applyFill="1" applyBorder="1" applyAlignment="1">
      <alignment horizontal="left" vertical="top" wrapText="1"/>
    </xf>
    <xf numFmtId="0" fontId="3" fillId="5" borderId="9" xfId="0" applyFont="1" applyFill="1" applyBorder="1" applyAlignment="1">
      <alignment horizontal="left" vertical="top" wrapText="1"/>
    </xf>
    <xf numFmtId="0" fontId="25" fillId="12" borderId="7" xfId="0" applyFont="1" applyFill="1" applyBorder="1" applyAlignment="1">
      <alignment horizontal="left" vertical="top"/>
    </xf>
    <xf numFmtId="0" fontId="26" fillId="12" borderId="13" xfId="0" applyFont="1" applyFill="1" applyBorder="1" applyAlignment="1">
      <alignment horizontal="left" vertical="top" wrapText="1"/>
    </xf>
    <xf numFmtId="0" fontId="26" fillId="12" borderId="14" xfId="0" applyFont="1" applyFill="1" applyBorder="1" applyAlignment="1">
      <alignment horizontal="left" vertical="top" wrapText="1"/>
    </xf>
    <xf numFmtId="0" fontId="26" fillId="12" borderId="26" xfId="0" applyFont="1" applyFill="1" applyBorder="1" applyAlignment="1">
      <alignment horizontal="left" vertical="top" wrapText="1"/>
    </xf>
    <xf numFmtId="0" fontId="26" fillId="12" borderId="0" xfId="0" applyFont="1" applyFill="1" applyAlignment="1">
      <alignment horizontal="left" vertical="top" wrapText="1"/>
    </xf>
    <xf numFmtId="0" fontId="21" fillId="12" borderId="27" xfId="0" applyFont="1" applyFill="1" applyBorder="1" applyAlignment="1">
      <alignment horizontal="left" vertical="top"/>
    </xf>
    <xf numFmtId="0" fontId="21" fillId="12" borderId="28" xfId="0" applyFont="1" applyFill="1" applyBorder="1" applyAlignment="1">
      <alignment horizontal="left" vertical="top"/>
    </xf>
    <xf numFmtId="0" fontId="21" fillId="12" borderId="29" xfId="0" applyFont="1" applyFill="1" applyBorder="1" applyAlignment="1">
      <alignment horizontal="left" vertical="top"/>
    </xf>
    <xf numFmtId="0" fontId="26" fillId="12" borderId="31" xfId="0" applyFont="1" applyFill="1" applyBorder="1" applyAlignment="1">
      <alignment horizontal="left" vertical="top" wrapText="1"/>
    </xf>
    <xf numFmtId="0" fontId="20" fillId="12" borderId="4" xfId="0" applyFont="1" applyFill="1" applyBorder="1" applyAlignment="1">
      <alignment horizontal="center" vertical="center"/>
    </xf>
    <xf numFmtId="0" fontId="5" fillId="0" borderId="1" xfId="0" applyFont="1" applyBorder="1" applyAlignment="1">
      <alignment horizontal="left" vertical="top" wrapText="1"/>
    </xf>
    <xf numFmtId="0" fontId="5" fillId="0" borderId="19" xfId="0" applyFont="1" applyBorder="1" applyAlignment="1">
      <alignment horizontal="left" vertical="top" wrapText="1"/>
    </xf>
    <xf numFmtId="0" fontId="5" fillId="0" borderId="14" xfId="0" applyFont="1" applyBorder="1" applyAlignment="1">
      <alignment horizontal="left" vertical="top" wrapText="1"/>
    </xf>
    <xf numFmtId="0" fontId="5" fillId="0" borderId="18" xfId="0" applyFont="1" applyBorder="1" applyAlignment="1">
      <alignment horizontal="left" vertical="top" wrapText="1"/>
    </xf>
    <xf numFmtId="0" fontId="5" fillId="9" borderId="1" xfId="0" applyFont="1" applyFill="1" applyBorder="1" applyAlignment="1">
      <alignment horizontal="left" vertical="top" wrapText="1"/>
    </xf>
    <xf numFmtId="0" fontId="5" fillId="9" borderId="19" xfId="0" applyFont="1" applyFill="1" applyBorder="1" applyAlignment="1">
      <alignment horizontal="left" vertical="top" wrapText="1"/>
    </xf>
    <xf numFmtId="0" fontId="5" fillId="9" borderId="14" xfId="0" applyFont="1" applyFill="1" applyBorder="1" applyAlignment="1">
      <alignment horizontal="left" vertical="top" wrapText="1"/>
    </xf>
    <xf numFmtId="0" fontId="5" fillId="9" borderId="18" xfId="0" applyFont="1" applyFill="1" applyBorder="1" applyAlignment="1">
      <alignment horizontal="left" vertical="top" wrapText="1"/>
    </xf>
    <xf numFmtId="0" fontId="5" fillId="0" borderId="13" xfId="0" applyFont="1" applyBorder="1" applyAlignment="1">
      <alignment horizontal="left" vertical="top" wrapText="1"/>
    </xf>
    <xf numFmtId="0" fontId="9" fillId="0" borderId="14" xfId="0" applyFont="1" applyBorder="1" applyAlignment="1">
      <alignment horizontal="left" vertical="top" wrapText="1"/>
    </xf>
    <xf numFmtId="0" fontId="9" fillId="0" borderId="18" xfId="0" applyFont="1" applyBorder="1" applyAlignment="1">
      <alignment horizontal="left" vertical="top" wrapText="1"/>
    </xf>
    <xf numFmtId="0" fontId="9" fillId="0" borderId="1" xfId="0" applyFont="1" applyBorder="1" applyAlignment="1">
      <alignment horizontal="left" vertical="top" wrapText="1"/>
    </xf>
    <xf numFmtId="0" fontId="9" fillId="0" borderId="13" xfId="0" applyFont="1" applyBorder="1" applyAlignment="1">
      <alignment horizontal="left" vertical="top" wrapText="1"/>
    </xf>
    <xf numFmtId="0" fontId="5" fillId="0" borderId="2" xfId="0" applyFont="1" applyBorder="1" applyAlignment="1">
      <alignment horizontal="left" vertical="top" wrapText="1"/>
    </xf>
    <xf numFmtId="0" fontId="5" fillId="0" borderId="7" xfId="0" applyFont="1" applyBorder="1" applyAlignment="1">
      <alignment horizontal="left" vertical="top" wrapText="1"/>
    </xf>
    <xf numFmtId="0" fontId="9" fillId="0" borderId="2" xfId="0" applyFont="1" applyBorder="1" applyAlignment="1">
      <alignment horizontal="left" vertical="top" wrapText="1"/>
    </xf>
    <xf numFmtId="0" fontId="13" fillId="11" borderId="4" xfId="0" applyFont="1" applyFill="1" applyBorder="1" applyAlignment="1">
      <alignment horizontal="left" vertical="top" wrapText="1"/>
    </xf>
    <xf numFmtId="0" fontId="13" fillId="11" borderId="4" xfId="0" applyFont="1" applyFill="1" applyBorder="1" applyAlignment="1">
      <alignment horizontal="left" vertical="top"/>
    </xf>
    <xf numFmtId="0" fontId="13" fillId="11" borderId="5" xfId="0" applyFont="1" applyFill="1" applyBorder="1" applyAlignment="1">
      <alignment horizontal="left" vertical="top"/>
    </xf>
    <xf numFmtId="0" fontId="5" fillId="5" borderId="11" xfId="0" applyFont="1" applyFill="1" applyBorder="1" applyAlignment="1">
      <alignment horizontal="center" vertical="top" wrapText="1"/>
    </xf>
    <xf numFmtId="0" fontId="5" fillId="5" borderId="16" xfId="0" applyFont="1" applyFill="1" applyBorder="1" applyAlignment="1">
      <alignment horizontal="center" vertical="top" wrapText="1"/>
    </xf>
    <xf numFmtId="0" fontId="7" fillId="5" borderId="21" xfId="0" applyFont="1" applyFill="1" applyBorder="1" applyAlignment="1">
      <alignment horizontal="left" vertical="top" wrapText="1"/>
    </xf>
    <xf numFmtId="0" fontId="7" fillId="5" borderId="20" xfId="0" applyFont="1" applyFill="1" applyBorder="1" applyAlignment="1">
      <alignment horizontal="left" vertical="top" wrapText="1"/>
    </xf>
    <xf numFmtId="0" fontId="14" fillId="12" borderId="20" xfId="0" applyFont="1" applyFill="1" applyBorder="1" applyAlignment="1">
      <alignment horizontal="center" vertical="top"/>
    </xf>
    <xf numFmtId="0" fontId="14" fillId="12" borderId="0" xfId="0" applyFont="1" applyFill="1" applyAlignment="1">
      <alignment horizontal="center" vertical="top"/>
    </xf>
    <xf numFmtId="0" fontId="13" fillId="11" borderId="5" xfId="0" applyFont="1" applyFill="1" applyBorder="1" applyAlignment="1">
      <alignment horizontal="left" vertical="top" wrapText="1"/>
    </xf>
    <xf numFmtId="0" fontId="26" fillId="12" borderId="26" xfId="0" applyFont="1" applyFill="1" applyBorder="1" applyAlignment="1">
      <alignment horizontal="center" vertical="top" wrapText="1"/>
    </xf>
    <xf numFmtId="0" fontId="26" fillId="12" borderId="0" xfId="0" applyFont="1" applyFill="1" applyAlignment="1">
      <alignment horizontal="center" vertical="top" wrapText="1"/>
    </xf>
    <xf numFmtId="0" fontId="5" fillId="0" borderId="4" xfId="0" applyFont="1" applyBorder="1" applyAlignment="1">
      <alignment horizontal="center" vertical="center"/>
    </xf>
    <xf numFmtId="0" fontId="5" fillId="0" borderId="4" xfId="0" applyFont="1" applyBorder="1" applyAlignment="1">
      <alignment horizontal="center" wrapText="1"/>
    </xf>
    <xf numFmtId="0" fontId="0" fillId="0" borderId="4" xfId="0" applyBorder="1" applyAlignment="1">
      <alignment horizontal="center" vertical="center"/>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horizontal="center" vertical="center" wrapText="1"/>
    </xf>
    <xf numFmtId="0" fontId="0" fillId="0" borderId="4" xfId="0" applyBorder="1" applyAlignment="1">
      <alignment horizontal="left" vertical="top" wrapText="1"/>
    </xf>
    <xf numFmtId="0" fontId="4"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7" borderId="4" xfId="0" applyFont="1" applyFill="1" applyBorder="1" applyAlignment="1">
      <alignment horizontal="center"/>
    </xf>
    <xf numFmtId="0" fontId="4" fillId="6" borderId="4" xfId="0" applyFont="1" applyFill="1" applyBorder="1" applyAlignment="1">
      <alignment horizontal="center" vertical="center" wrapText="1"/>
    </xf>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7064-047B-4907-984E-004E30660CDF}">
  <dimension ref="A2:E216"/>
  <sheetViews>
    <sheetView showGridLines="0" topLeftCell="A190" zoomScale="80" zoomScaleNormal="80" workbookViewId="0">
      <selection activeCell="A170" sqref="A170"/>
    </sheetView>
  </sheetViews>
  <sheetFormatPr defaultColWidth="9.1796875" defaultRowHeight="13" x14ac:dyDescent="0.3"/>
  <cols>
    <col min="1" max="1" width="9.1796875" style="61" bestFit="1" customWidth="1"/>
    <col min="2" max="16384" width="9.1796875" style="61"/>
  </cols>
  <sheetData>
    <row r="2" spans="1:5" s="79" customFormat="1" x14ac:dyDescent="0.3">
      <c r="A2" s="79" t="s">
        <v>0</v>
      </c>
    </row>
    <row r="4" spans="1:5" x14ac:dyDescent="0.3">
      <c r="A4" s="78" t="s">
        <v>1</v>
      </c>
      <c r="B4" s="78"/>
      <c r="C4" s="78"/>
      <c r="D4" s="78"/>
      <c r="E4" s="78"/>
    </row>
    <row r="6" spans="1:5" x14ac:dyDescent="0.3">
      <c r="A6" s="81" t="s">
        <v>2</v>
      </c>
    </row>
    <row r="7" spans="1:5" x14ac:dyDescent="0.3">
      <c r="A7" s="61" t="s">
        <v>3</v>
      </c>
    </row>
    <row r="8" spans="1:5" x14ac:dyDescent="0.3">
      <c r="B8" s="61" t="s">
        <v>4</v>
      </c>
    </row>
    <row r="9" spans="1:5" x14ac:dyDescent="0.3">
      <c r="B9" s="61" t="s">
        <v>5</v>
      </c>
    </row>
    <row r="10" spans="1:5" x14ac:dyDescent="0.3">
      <c r="B10" s="61" t="s">
        <v>6</v>
      </c>
    </row>
    <row r="11" spans="1:5" x14ac:dyDescent="0.3">
      <c r="A11" s="61" t="s">
        <v>7</v>
      </c>
    </row>
    <row r="12" spans="1:5" x14ac:dyDescent="0.3">
      <c r="B12" s="81" t="s">
        <v>8</v>
      </c>
    </row>
    <row r="13" spans="1:5" x14ac:dyDescent="0.3">
      <c r="B13" s="81" t="s">
        <v>9</v>
      </c>
    </row>
    <row r="14" spans="1:5" x14ac:dyDescent="0.3">
      <c r="A14" s="61" t="s">
        <v>10</v>
      </c>
    </row>
    <row r="15" spans="1:5" x14ac:dyDescent="0.3">
      <c r="C15" s="61" t="s">
        <v>11</v>
      </c>
    </row>
    <row r="16" spans="1:5" x14ac:dyDescent="0.3">
      <c r="C16" s="61" t="s">
        <v>12</v>
      </c>
    </row>
    <row r="17" spans="1:5" x14ac:dyDescent="0.3">
      <c r="C17" s="61" t="s">
        <v>13</v>
      </c>
    </row>
    <row r="18" spans="1:5" x14ac:dyDescent="0.3">
      <c r="C18" s="81" t="s">
        <v>14</v>
      </c>
    </row>
    <row r="19" spans="1:5" x14ac:dyDescent="0.3">
      <c r="C19" s="61" t="s">
        <v>15</v>
      </c>
    </row>
    <row r="20" spans="1:5" x14ac:dyDescent="0.3">
      <c r="C20" s="61" t="s">
        <v>16</v>
      </c>
    </row>
    <row r="21" spans="1:5" x14ac:dyDescent="0.3">
      <c r="A21" s="61" t="s">
        <v>17</v>
      </c>
      <c r="B21" s="81" t="s">
        <v>18</v>
      </c>
    </row>
    <row r="22" spans="1:5" x14ac:dyDescent="0.3">
      <c r="C22" s="61" t="s">
        <v>19</v>
      </c>
    </row>
    <row r="23" spans="1:5" x14ac:dyDescent="0.3">
      <c r="C23" s="61" t="s">
        <v>20</v>
      </c>
    </row>
    <row r="24" spans="1:5" x14ac:dyDescent="0.3">
      <c r="C24" s="61" t="s">
        <v>21</v>
      </c>
    </row>
    <row r="25" spans="1:5" x14ac:dyDescent="0.3">
      <c r="C25" s="81" t="s">
        <v>22</v>
      </c>
    </row>
    <row r="26" spans="1:5" x14ac:dyDescent="0.3">
      <c r="A26" s="61" t="s">
        <v>23</v>
      </c>
    </row>
    <row r="27" spans="1:5" x14ac:dyDescent="0.3">
      <c r="B27" s="61" t="s">
        <v>24</v>
      </c>
    </row>
    <row r="28" spans="1:5" x14ac:dyDescent="0.3">
      <c r="B28" s="61" t="s">
        <v>25</v>
      </c>
    </row>
    <row r="30" spans="1:5" x14ac:dyDescent="0.3">
      <c r="A30" s="78" t="s">
        <v>26</v>
      </c>
      <c r="B30" s="78"/>
      <c r="C30" s="78"/>
      <c r="D30" s="78"/>
      <c r="E30" s="78"/>
    </row>
    <row r="32" spans="1:5" x14ac:dyDescent="0.3">
      <c r="A32" s="81" t="s">
        <v>2</v>
      </c>
    </row>
    <row r="33" spans="1:3" x14ac:dyDescent="0.3">
      <c r="A33" s="61" t="s">
        <v>3</v>
      </c>
    </row>
    <row r="34" spans="1:3" x14ac:dyDescent="0.3">
      <c r="B34" s="61" t="s">
        <v>4</v>
      </c>
    </row>
    <row r="35" spans="1:3" x14ac:dyDescent="0.3">
      <c r="B35" s="61" t="s">
        <v>5</v>
      </c>
    </row>
    <row r="36" spans="1:3" x14ac:dyDescent="0.3">
      <c r="B36" s="61" t="s">
        <v>6</v>
      </c>
    </row>
    <row r="37" spans="1:3" x14ac:dyDescent="0.3">
      <c r="A37" s="61" t="s">
        <v>7</v>
      </c>
    </row>
    <row r="38" spans="1:3" x14ac:dyDescent="0.3">
      <c r="B38" s="81" t="s">
        <v>27</v>
      </c>
    </row>
    <row r="39" spans="1:3" x14ac:dyDescent="0.3">
      <c r="B39" s="81" t="s">
        <v>28</v>
      </c>
    </row>
    <row r="40" spans="1:3" x14ac:dyDescent="0.3">
      <c r="A40" s="61" t="s">
        <v>29</v>
      </c>
    </row>
    <row r="41" spans="1:3" x14ac:dyDescent="0.3">
      <c r="C41" s="82" t="s">
        <v>11</v>
      </c>
    </row>
    <row r="42" spans="1:3" x14ac:dyDescent="0.3">
      <c r="C42" s="82" t="s">
        <v>12</v>
      </c>
    </row>
    <row r="43" spans="1:3" x14ac:dyDescent="0.3">
      <c r="C43" s="61" t="s">
        <v>13</v>
      </c>
    </row>
    <row r="44" spans="1:3" x14ac:dyDescent="0.3">
      <c r="C44" s="81" t="s">
        <v>14</v>
      </c>
    </row>
    <row r="45" spans="1:3" x14ac:dyDescent="0.3">
      <c r="C45" s="61" t="s">
        <v>15</v>
      </c>
    </row>
    <row r="46" spans="1:3" x14ac:dyDescent="0.3">
      <c r="C46" s="82" t="s">
        <v>16</v>
      </c>
    </row>
    <row r="47" spans="1:3" x14ac:dyDescent="0.3">
      <c r="A47" s="61" t="s">
        <v>23</v>
      </c>
    </row>
    <row r="48" spans="1:3" x14ac:dyDescent="0.3">
      <c r="B48" s="61" t="s">
        <v>24</v>
      </c>
    </row>
    <row r="49" spans="1:5" x14ac:dyDescent="0.3">
      <c r="B49" s="61" t="s">
        <v>25</v>
      </c>
    </row>
    <row r="51" spans="1:5" x14ac:dyDescent="0.3">
      <c r="A51" s="78" t="s">
        <v>30</v>
      </c>
      <c r="B51" s="78"/>
      <c r="C51" s="78"/>
      <c r="D51" s="78"/>
      <c r="E51" s="78"/>
    </row>
    <row r="53" spans="1:5" x14ac:dyDescent="0.3">
      <c r="A53" s="81" t="s">
        <v>2</v>
      </c>
    </row>
    <row r="54" spans="1:5" x14ac:dyDescent="0.3">
      <c r="A54" s="61" t="s">
        <v>3</v>
      </c>
    </row>
    <row r="55" spans="1:5" x14ac:dyDescent="0.3">
      <c r="B55" s="61" t="s">
        <v>4</v>
      </c>
    </row>
    <row r="56" spans="1:5" x14ac:dyDescent="0.3">
      <c r="B56" s="61" t="s">
        <v>5</v>
      </c>
    </row>
    <row r="57" spans="1:5" x14ac:dyDescent="0.3">
      <c r="B57" s="61" t="s">
        <v>6</v>
      </c>
    </row>
    <row r="58" spans="1:5" x14ac:dyDescent="0.3">
      <c r="A58" s="61" t="s">
        <v>7</v>
      </c>
    </row>
    <row r="59" spans="1:5" x14ac:dyDescent="0.3">
      <c r="B59" s="81" t="s">
        <v>27</v>
      </c>
    </row>
    <row r="60" spans="1:5" x14ac:dyDescent="0.3">
      <c r="B60" s="81" t="s">
        <v>31</v>
      </c>
    </row>
    <row r="61" spans="1:5" x14ac:dyDescent="0.3">
      <c r="A61" s="61" t="s">
        <v>32</v>
      </c>
    </row>
    <row r="62" spans="1:5" x14ac:dyDescent="0.3">
      <c r="C62" s="81" t="s">
        <v>33</v>
      </c>
    </row>
    <row r="63" spans="1:5" x14ac:dyDescent="0.3">
      <c r="C63" s="61" t="s">
        <v>12</v>
      </c>
    </row>
    <row r="64" spans="1:5" x14ac:dyDescent="0.3">
      <c r="C64" s="61" t="s">
        <v>13</v>
      </c>
    </row>
    <row r="65" spans="1:5" x14ac:dyDescent="0.3">
      <c r="C65" s="81" t="s">
        <v>14</v>
      </c>
    </row>
    <row r="66" spans="1:5" x14ac:dyDescent="0.3">
      <c r="C66" s="61" t="s">
        <v>15</v>
      </c>
    </row>
    <row r="67" spans="1:5" x14ac:dyDescent="0.3">
      <c r="C67" s="82" t="s">
        <v>16</v>
      </c>
    </row>
    <row r="68" spans="1:5" x14ac:dyDescent="0.3">
      <c r="A68" s="61" t="s">
        <v>23</v>
      </c>
    </row>
    <row r="69" spans="1:5" x14ac:dyDescent="0.3">
      <c r="B69" s="61" t="s">
        <v>24</v>
      </c>
    </row>
    <row r="70" spans="1:5" x14ac:dyDescent="0.3">
      <c r="B70" s="61" t="s">
        <v>25</v>
      </c>
    </row>
    <row r="73" spans="1:5" x14ac:dyDescent="0.3">
      <c r="A73" s="78" t="s">
        <v>34</v>
      </c>
      <c r="B73" s="78"/>
      <c r="C73" s="78"/>
      <c r="D73" s="78"/>
      <c r="E73" s="78"/>
    </row>
    <row r="75" spans="1:5" x14ac:dyDescent="0.3">
      <c r="A75" s="81" t="s">
        <v>2</v>
      </c>
    </row>
    <row r="76" spans="1:5" x14ac:dyDescent="0.3">
      <c r="A76" s="61" t="s">
        <v>3</v>
      </c>
    </row>
    <row r="77" spans="1:5" x14ac:dyDescent="0.3">
      <c r="B77" s="61" t="s">
        <v>4</v>
      </c>
    </row>
    <row r="78" spans="1:5" x14ac:dyDescent="0.3">
      <c r="B78" s="61" t="s">
        <v>5</v>
      </c>
    </row>
    <row r="79" spans="1:5" x14ac:dyDescent="0.3">
      <c r="B79" s="61" t="s">
        <v>6</v>
      </c>
    </row>
    <row r="80" spans="1:5" x14ac:dyDescent="0.3">
      <c r="A80" s="61" t="s">
        <v>7</v>
      </c>
    </row>
    <row r="81" spans="1:3" x14ac:dyDescent="0.3">
      <c r="B81" s="81" t="s">
        <v>35</v>
      </c>
    </row>
    <row r="82" spans="1:3" x14ac:dyDescent="0.3">
      <c r="B82" s="81" t="s">
        <v>31</v>
      </c>
    </row>
    <row r="83" spans="1:3" x14ac:dyDescent="0.3">
      <c r="A83" s="61" t="s">
        <v>36</v>
      </c>
    </row>
    <row r="84" spans="1:3" x14ac:dyDescent="0.3">
      <c r="A84" s="61" t="s">
        <v>32</v>
      </c>
    </row>
    <row r="85" spans="1:3" x14ac:dyDescent="0.3">
      <c r="C85" s="81" t="s">
        <v>33</v>
      </c>
    </row>
    <row r="86" spans="1:3" x14ac:dyDescent="0.3">
      <c r="C86" s="61" t="s">
        <v>12</v>
      </c>
    </row>
    <row r="87" spans="1:3" x14ac:dyDescent="0.3">
      <c r="C87" s="61" t="s">
        <v>13</v>
      </c>
    </row>
    <row r="88" spans="1:3" x14ac:dyDescent="0.3">
      <c r="C88" s="81" t="s">
        <v>14</v>
      </c>
    </row>
    <row r="89" spans="1:3" x14ac:dyDescent="0.3">
      <c r="C89" s="61" t="s">
        <v>15</v>
      </c>
    </row>
    <row r="90" spans="1:3" x14ac:dyDescent="0.3">
      <c r="C90" s="82" t="s">
        <v>16</v>
      </c>
    </row>
    <row r="91" spans="1:3" x14ac:dyDescent="0.3">
      <c r="A91" s="61" t="s">
        <v>37</v>
      </c>
    </row>
    <row r="92" spans="1:3" x14ac:dyDescent="0.3">
      <c r="A92" s="61" t="s">
        <v>10</v>
      </c>
    </row>
    <row r="93" spans="1:3" x14ac:dyDescent="0.3">
      <c r="C93" s="61" t="s">
        <v>11</v>
      </c>
    </row>
    <row r="94" spans="1:3" x14ac:dyDescent="0.3">
      <c r="C94" s="61" t="s">
        <v>12</v>
      </c>
    </row>
    <row r="95" spans="1:3" x14ac:dyDescent="0.3">
      <c r="C95" s="61" t="s">
        <v>13</v>
      </c>
    </row>
    <row r="96" spans="1:3" x14ac:dyDescent="0.3">
      <c r="C96" s="81" t="s">
        <v>14</v>
      </c>
    </row>
    <row r="97" spans="1:5" x14ac:dyDescent="0.3">
      <c r="C97" s="61" t="s">
        <v>15</v>
      </c>
    </row>
    <row r="98" spans="1:5" x14ac:dyDescent="0.3">
      <c r="C98" s="61" t="s">
        <v>16</v>
      </c>
    </row>
    <row r="99" spans="1:5" x14ac:dyDescent="0.3">
      <c r="A99" s="61" t="s">
        <v>17</v>
      </c>
      <c r="B99" s="81" t="s">
        <v>18</v>
      </c>
    </row>
    <row r="100" spans="1:5" x14ac:dyDescent="0.3">
      <c r="C100" s="61" t="s">
        <v>19</v>
      </c>
    </row>
    <row r="101" spans="1:5" x14ac:dyDescent="0.3">
      <c r="C101" s="61" t="s">
        <v>20</v>
      </c>
    </row>
    <row r="102" spans="1:5" x14ac:dyDescent="0.3">
      <c r="C102" s="61" t="s">
        <v>21</v>
      </c>
    </row>
    <row r="103" spans="1:5" x14ac:dyDescent="0.3">
      <c r="C103" s="81" t="s">
        <v>22</v>
      </c>
    </row>
    <row r="104" spans="1:5" x14ac:dyDescent="0.3">
      <c r="A104" s="61" t="s">
        <v>23</v>
      </c>
    </row>
    <row r="105" spans="1:5" x14ac:dyDescent="0.3">
      <c r="B105" s="61" t="s">
        <v>24</v>
      </c>
    </row>
    <row r="106" spans="1:5" x14ac:dyDescent="0.3">
      <c r="B106" s="61" t="s">
        <v>25</v>
      </c>
    </row>
    <row r="108" spans="1:5" x14ac:dyDescent="0.3">
      <c r="A108" s="79" t="s">
        <v>38</v>
      </c>
      <c r="B108" s="79"/>
      <c r="C108" s="79"/>
      <c r="D108" s="79"/>
      <c r="E108" s="79"/>
    </row>
    <row r="110" spans="1:5" x14ac:dyDescent="0.3">
      <c r="A110" s="61" t="s">
        <v>39</v>
      </c>
    </row>
    <row r="111" spans="1:5" x14ac:dyDescent="0.3">
      <c r="A111" s="61" t="s">
        <v>40</v>
      </c>
    </row>
    <row r="112" spans="1:5" x14ac:dyDescent="0.3">
      <c r="A112" s="61" t="s">
        <v>41</v>
      </c>
    </row>
    <row r="113" spans="1:2" x14ac:dyDescent="0.3">
      <c r="B113" s="61" t="s">
        <v>42</v>
      </c>
    </row>
    <row r="114" spans="1:2" x14ac:dyDescent="0.3">
      <c r="B114" s="61" t="s">
        <v>43</v>
      </c>
    </row>
    <row r="115" spans="1:2" x14ac:dyDescent="0.3">
      <c r="B115" s="61" t="s">
        <v>44</v>
      </c>
    </row>
    <row r="116" spans="1:2" x14ac:dyDescent="0.3">
      <c r="B116" s="61" t="s">
        <v>45</v>
      </c>
    </row>
    <row r="117" spans="1:2" x14ac:dyDescent="0.3">
      <c r="B117" s="81" t="s">
        <v>14</v>
      </c>
    </row>
    <row r="118" spans="1:2" x14ac:dyDescent="0.3">
      <c r="B118" s="81" t="s">
        <v>46</v>
      </c>
    </row>
    <row r="119" spans="1:2" x14ac:dyDescent="0.3">
      <c r="A119" s="61" t="s">
        <v>47</v>
      </c>
    </row>
    <row r="120" spans="1:2" x14ac:dyDescent="0.3">
      <c r="B120" s="61" t="s">
        <v>48</v>
      </c>
    </row>
    <row r="121" spans="1:2" x14ac:dyDescent="0.3">
      <c r="B121" s="61" t="s">
        <v>49</v>
      </c>
    </row>
    <row r="122" spans="1:2" x14ac:dyDescent="0.3">
      <c r="B122" s="61" t="s">
        <v>50</v>
      </c>
    </row>
    <row r="123" spans="1:2" x14ac:dyDescent="0.3">
      <c r="B123" s="61" t="s">
        <v>51</v>
      </c>
    </row>
    <row r="124" spans="1:2" x14ac:dyDescent="0.3">
      <c r="B124" s="61" t="s">
        <v>52</v>
      </c>
    </row>
    <row r="125" spans="1:2" x14ac:dyDescent="0.3">
      <c r="B125" s="61" t="s">
        <v>53</v>
      </c>
    </row>
    <row r="126" spans="1:2" x14ac:dyDescent="0.3">
      <c r="B126" s="61" t="s">
        <v>54</v>
      </c>
    </row>
    <row r="127" spans="1:2" x14ac:dyDescent="0.3">
      <c r="B127" s="61" t="s">
        <v>55</v>
      </c>
    </row>
    <row r="128" spans="1:2" x14ac:dyDescent="0.3">
      <c r="B128" s="61" t="s">
        <v>56</v>
      </c>
    </row>
    <row r="129" spans="1:2" x14ac:dyDescent="0.3">
      <c r="B129" s="61" t="s">
        <v>57</v>
      </c>
    </row>
    <row r="130" spans="1:2" x14ac:dyDescent="0.3">
      <c r="B130" s="61" t="s">
        <v>58</v>
      </c>
    </row>
    <row r="131" spans="1:2" x14ac:dyDescent="0.3">
      <c r="B131" s="61" t="s">
        <v>59</v>
      </c>
    </row>
    <row r="132" spans="1:2" x14ac:dyDescent="0.3">
      <c r="B132" s="61" t="s">
        <v>60</v>
      </c>
    </row>
    <row r="133" spans="1:2" x14ac:dyDescent="0.3">
      <c r="B133" s="61" t="s">
        <v>61</v>
      </c>
    </row>
    <row r="134" spans="1:2" x14ac:dyDescent="0.3">
      <c r="B134" s="61" t="s">
        <v>62</v>
      </c>
    </row>
    <row r="135" spans="1:2" x14ac:dyDescent="0.3">
      <c r="B135" s="81" t="s">
        <v>63</v>
      </c>
    </row>
    <row r="136" spans="1:2" x14ac:dyDescent="0.3">
      <c r="A136" s="61" t="s">
        <v>64</v>
      </c>
    </row>
    <row r="137" spans="1:2" x14ac:dyDescent="0.3">
      <c r="B137" s="61" t="s">
        <v>65</v>
      </c>
    </row>
    <row r="138" spans="1:2" x14ac:dyDescent="0.3">
      <c r="B138" s="81" t="s">
        <v>66</v>
      </c>
    </row>
    <row r="139" spans="1:2" x14ac:dyDescent="0.3">
      <c r="B139" s="81" t="s">
        <v>67</v>
      </c>
    </row>
    <row r="140" spans="1:2" x14ac:dyDescent="0.3">
      <c r="B140" s="61" t="s">
        <v>68</v>
      </c>
    </row>
    <row r="141" spans="1:2" x14ac:dyDescent="0.3">
      <c r="B141" s="81" t="s">
        <v>69</v>
      </c>
    </row>
    <row r="142" spans="1:2" x14ac:dyDescent="0.3">
      <c r="A142" s="61" t="s">
        <v>70</v>
      </c>
    </row>
    <row r="143" spans="1:2" x14ac:dyDescent="0.3">
      <c r="B143" s="61" t="s">
        <v>71</v>
      </c>
    </row>
    <row r="144" spans="1:2" x14ac:dyDescent="0.3">
      <c r="B144" s="61" t="s">
        <v>72</v>
      </c>
    </row>
    <row r="145" spans="1:3" x14ac:dyDescent="0.3">
      <c r="B145" s="61" t="s">
        <v>73</v>
      </c>
    </row>
    <row r="146" spans="1:3" x14ac:dyDescent="0.3">
      <c r="B146" s="61" t="s">
        <v>74</v>
      </c>
    </row>
    <row r="147" spans="1:3" x14ac:dyDescent="0.3">
      <c r="B147" s="61" t="s">
        <v>75</v>
      </c>
    </row>
    <row r="148" spans="1:3" x14ac:dyDescent="0.3">
      <c r="B148" s="61" t="s">
        <v>76</v>
      </c>
    </row>
    <row r="149" spans="1:3" x14ac:dyDescent="0.3">
      <c r="B149" s="61" t="s">
        <v>77</v>
      </c>
    </row>
    <row r="150" spans="1:3" x14ac:dyDescent="0.3">
      <c r="B150" s="61" t="s">
        <v>78</v>
      </c>
    </row>
    <row r="151" spans="1:3" x14ac:dyDescent="0.3">
      <c r="B151" s="61" t="s">
        <v>79</v>
      </c>
    </row>
    <row r="152" spans="1:3" x14ac:dyDescent="0.3">
      <c r="B152" s="61" t="s">
        <v>80</v>
      </c>
    </row>
    <row r="153" spans="1:3" x14ac:dyDescent="0.3">
      <c r="A153" s="61" t="s">
        <v>81</v>
      </c>
    </row>
    <row r="154" spans="1:3" x14ac:dyDescent="0.3">
      <c r="B154" s="61" t="s">
        <v>82</v>
      </c>
    </row>
    <row r="155" spans="1:3" x14ac:dyDescent="0.3">
      <c r="C155" s="81" t="s">
        <v>83</v>
      </c>
    </row>
    <row r="156" spans="1:3" x14ac:dyDescent="0.3">
      <c r="C156" s="81" t="s">
        <v>84</v>
      </c>
    </row>
    <row r="157" spans="1:3" x14ac:dyDescent="0.3">
      <c r="A157" s="61" t="s">
        <v>85</v>
      </c>
    </row>
    <row r="158" spans="1:3" x14ac:dyDescent="0.3">
      <c r="B158" s="81" t="s">
        <v>86</v>
      </c>
    </row>
    <row r="159" spans="1:3" x14ac:dyDescent="0.3">
      <c r="B159" s="81"/>
      <c r="C159" s="61" t="s">
        <v>87</v>
      </c>
    </row>
    <row r="160" spans="1:3" x14ac:dyDescent="0.3">
      <c r="B160" s="81"/>
      <c r="C160" s="61" t="s">
        <v>88</v>
      </c>
    </row>
    <row r="161" spans="1:4" x14ac:dyDescent="0.3">
      <c r="B161" s="81"/>
      <c r="D161" s="61" t="s">
        <v>89</v>
      </c>
    </row>
    <row r="162" spans="1:4" x14ac:dyDescent="0.3">
      <c r="B162" s="81"/>
      <c r="D162" s="61" t="s">
        <v>90</v>
      </c>
    </row>
    <row r="163" spans="1:4" x14ac:dyDescent="0.3">
      <c r="B163" s="82" t="s">
        <v>91</v>
      </c>
    </row>
    <row r="164" spans="1:4" x14ac:dyDescent="0.3">
      <c r="B164" s="82" t="s">
        <v>92</v>
      </c>
    </row>
    <row r="165" spans="1:4" x14ac:dyDescent="0.3">
      <c r="B165" s="61" t="s">
        <v>93</v>
      </c>
    </row>
    <row r="166" spans="1:4" x14ac:dyDescent="0.3">
      <c r="B166" s="61" t="s">
        <v>94</v>
      </c>
    </row>
    <row r="167" spans="1:4" x14ac:dyDescent="0.3">
      <c r="B167" s="61" t="s">
        <v>95</v>
      </c>
    </row>
    <row r="168" spans="1:4" x14ac:dyDescent="0.3">
      <c r="B168" s="61" t="s">
        <v>96</v>
      </c>
    </row>
    <row r="170" spans="1:4" s="79" customFormat="1" x14ac:dyDescent="0.3">
      <c r="A170" s="79" t="s">
        <v>97</v>
      </c>
      <c r="C170" s="79" t="s">
        <v>93</v>
      </c>
    </row>
    <row r="172" spans="1:4" x14ac:dyDescent="0.3">
      <c r="A172" s="61" t="s">
        <v>98</v>
      </c>
    </row>
    <row r="173" spans="1:4" x14ac:dyDescent="0.3">
      <c r="A173" s="61" t="s">
        <v>99</v>
      </c>
    </row>
    <row r="174" spans="1:4" x14ac:dyDescent="0.3">
      <c r="A174" s="61" t="s">
        <v>100</v>
      </c>
    </row>
    <row r="175" spans="1:4" x14ac:dyDescent="0.3">
      <c r="A175" s="61" t="s">
        <v>101</v>
      </c>
    </row>
    <row r="176" spans="1:4" x14ac:dyDescent="0.3">
      <c r="A176" s="61" t="s">
        <v>102</v>
      </c>
    </row>
    <row r="177" spans="1:1" x14ac:dyDescent="0.3">
      <c r="A177" s="61" t="s">
        <v>103</v>
      </c>
    </row>
    <row r="178" spans="1:1" x14ac:dyDescent="0.3">
      <c r="A178" s="61" t="s">
        <v>104</v>
      </c>
    </row>
    <row r="179" spans="1:1" x14ac:dyDescent="0.3">
      <c r="A179" s="61" t="s">
        <v>105</v>
      </c>
    </row>
    <row r="180" spans="1:1" x14ac:dyDescent="0.3">
      <c r="A180" s="61" t="s">
        <v>106</v>
      </c>
    </row>
    <row r="181" spans="1:1" x14ac:dyDescent="0.3">
      <c r="A181" s="61" t="s">
        <v>107</v>
      </c>
    </row>
    <row r="182" spans="1:1" x14ac:dyDescent="0.3">
      <c r="A182" s="61" t="s">
        <v>108</v>
      </c>
    </row>
    <row r="183" spans="1:1" x14ac:dyDescent="0.3">
      <c r="A183" s="61" t="s">
        <v>109</v>
      </c>
    </row>
    <row r="184" spans="1:1" x14ac:dyDescent="0.3">
      <c r="A184" s="61" t="s">
        <v>110</v>
      </c>
    </row>
    <row r="185" spans="1:1" x14ac:dyDescent="0.3">
      <c r="A185" s="61" t="s">
        <v>111</v>
      </c>
    </row>
    <row r="186" spans="1:1" x14ac:dyDescent="0.3">
      <c r="A186" s="61" t="s">
        <v>112</v>
      </c>
    </row>
    <row r="187" spans="1:1" x14ac:dyDescent="0.3">
      <c r="A187" s="61" t="s">
        <v>113</v>
      </c>
    </row>
    <row r="188" spans="1:1" x14ac:dyDescent="0.3">
      <c r="A188" s="61" t="s">
        <v>114</v>
      </c>
    </row>
    <row r="189" spans="1:1" x14ac:dyDescent="0.3">
      <c r="A189" s="61" t="s">
        <v>115</v>
      </c>
    </row>
    <row r="190" spans="1:1" x14ac:dyDescent="0.3">
      <c r="A190" s="61" t="s">
        <v>116</v>
      </c>
    </row>
    <row r="191" spans="1:1" x14ac:dyDescent="0.3">
      <c r="A191" s="61" t="s">
        <v>117</v>
      </c>
    </row>
    <row r="194" spans="1:1" s="79" customFormat="1" x14ac:dyDescent="0.3">
      <c r="A194" s="79" t="s">
        <v>118</v>
      </c>
    </row>
    <row r="196" spans="1:1" x14ac:dyDescent="0.3">
      <c r="A196" s="61" t="s">
        <v>119</v>
      </c>
    </row>
    <row r="197" spans="1:1" x14ac:dyDescent="0.3">
      <c r="A197" s="61" t="s">
        <v>120</v>
      </c>
    </row>
    <row r="198" spans="1:1" x14ac:dyDescent="0.3">
      <c r="A198" s="61" t="s">
        <v>115</v>
      </c>
    </row>
    <row r="199" spans="1:1" x14ac:dyDescent="0.3">
      <c r="A199" s="61" t="s">
        <v>116</v>
      </c>
    </row>
    <row r="200" spans="1:1" x14ac:dyDescent="0.3">
      <c r="A200" s="61" t="s">
        <v>117</v>
      </c>
    </row>
    <row r="202" spans="1:1" s="79" customFormat="1" x14ac:dyDescent="0.3">
      <c r="A202" s="79" t="s">
        <v>121</v>
      </c>
    </row>
    <row r="204" spans="1:1" x14ac:dyDescent="0.3">
      <c r="A204" s="61" t="s">
        <v>122</v>
      </c>
    </row>
    <row r="205" spans="1:1" x14ac:dyDescent="0.3">
      <c r="A205" s="61" t="s">
        <v>123</v>
      </c>
    </row>
    <row r="206" spans="1:1" s="80" customFormat="1" x14ac:dyDescent="0.3">
      <c r="A206" s="80" t="s">
        <v>103</v>
      </c>
    </row>
    <row r="207" spans="1:1" s="80" customFormat="1" x14ac:dyDescent="0.3">
      <c r="A207" s="80" t="s">
        <v>101</v>
      </c>
    </row>
    <row r="208" spans="1:1" s="80" customFormat="1" x14ac:dyDescent="0.3">
      <c r="A208" s="80" t="s">
        <v>104</v>
      </c>
    </row>
    <row r="209" spans="1:1" s="80" customFormat="1" x14ac:dyDescent="0.3">
      <c r="A209" s="80" t="s">
        <v>105</v>
      </c>
    </row>
    <row r="210" spans="1:1" x14ac:dyDescent="0.3">
      <c r="A210" s="61" t="s">
        <v>124</v>
      </c>
    </row>
    <row r="211" spans="1:1" x14ac:dyDescent="0.3">
      <c r="A211" s="80" t="s">
        <v>125</v>
      </c>
    </row>
    <row r="212" spans="1:1" x14ac:dyDescent="0.3">
      <c r="A212" s="80" t="s">
        <v>126</v>
      </c>
    </row>
    <row r="213" spans="1:1" x14ac:dyDescent="0.3">
      <c r="A213" s="80" t="s">
        <v>127</v>
      </c>
    </row>
    <row r="214" spans="1:1" x14ac:dyDescent="0.3">
      <c r="A214" s="80" t="s">
        <v>128</v>
      </c>
    </row>
    <row r="215" spans="1:1" x14ac:dyDescent="0.3">
      <c r="A215" s="80" t="s">
        <v>129</v>
      </c>
    </row>
    <row r="216" spans="1:1" x14ac:dyDescent="0.3">
      <c r="A216" s="80"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8CF5B-EFFC-4554-A7EF-DF344DAAA612}">
  <dimension ref="E3:J110"/>
  <sheetViews>
    <sheetView showGridLines="0" topLeftCell="B1" zoomScale="91" workbookViewId="0">
      <selection activeCell="H17" sqref="H17"/>
    </sheetView>
  </sheetViews>
  <sheetFormatPr defaultRowHeight="14.5" x14ac:dyDescent="0.35"/>
  <cols>
    <col min="4" max="4" width="13" customWidth="1"/>
    <col min="6" max="6" width="0" hidden="1" customWidth="1"/>
    <col min="8" max="8" width="18.1796875" customWidth="1"/>
    <col min="9" max="9" width="25.1796875" bestFit="1" customWidth="1"/>
  </cols>
  <sheetData>
    <row r="3" spans="6:10" x14ac:dyDescent="0.35">
      <c r="H3" s="158" t="s">
        <v>131</v>
      </c>
      <c r="I3" s="158"/>
      <c r="J3" s="158"/>
    </row>
    <row r="4" spans="6:10" x14ac:dyDescent="0.35">
      <c r="F4">
        <v>21</v>
      </c>
      <c r="H4" s="122"/>
      <c r="I4" s="123" t="s">
        <v>132</v>
      </c>
      <c r="J4" s="123" t="s">
        <v>133</v>
      </c>
    </row>
    <row r="5" spans="6:10" x14ac:dyDescent="0.35">
      <c r="F5">
        <v>0</v>
      </c>
      <c r="H5" s="124" t="s">
        <v>134</v>
      </c>
      <c r="I5" s="119" t="s">
        <v>135</v>
      </c>
      <c r="J5" s="120">
        <f>SUM('E2E orders'!AY:AY)</f>
        <v>338</v>
      </c>
    </row>
    <row r="6" spans="6:10" x14ac:dyDescent="0.35">
      <c r="H6" s="125" t="s">
        <v>136</v>
      </c>
      <c r="I6" s="127"/>
      <c r="J6" s="128" t="e">
        <f>SUM(#REF!)</f>
        <v>#REF!</v>
      </c>
    </row>
    <row r="7" spans="6:10" x14ac:dyDescent="0.35">
      <c r="H7" s="125" t="s">
        <v>137</v>
      </c>
      <c r="I7" s="127"/>
      <c r="J7" s="128" t="s">
        <v>138</v>
      </c>
    </row>
    <row r="8" spans="6:10" x14ac:dyDescent="0.35">
      <c r="H8" s="126" t="s">
        <v>139</v>
      </c>
      <c r="I8" s="127" t="s">
        <v>140</v>
      </c>
      <c r="J8" s="128" t="e">
        <f>SUM(#REF!)</f>
        <v>#REF!</v>
      </c>
    </row>
    <row r="9" spans="6:10" x14ac:dyDescent="0.35">
      <c r="H9" s="63"/>
      <c r="I9" s="121" t="s">
        <v>133</v>
      </c>
      <c r="J9" s="121" t="e">
        <f>SUM(J5:J8)</f>
        <v>#REF!</v>
      </c>
    </row>
    <row r="11" spans="6:10" x14ac:dyDescent="0.35">
      <c r="F11" s="9"/>
    </row>
    <row r="12" spans="6:10" x14ac:dyDescent="0.35">
      <c r="F12" s="9"/>
    </row>
    <row r="13" spans="6:10" x14ac:dyDescent="0.35">
      <c r="F13" s="9"/>
    </row>
    <row r="14" spans="6:10" x14ac:dyDescent="0.35">
      <c r="F14" s="9"/>
    </row>
    <row r="15" spans="6:10" x14ac:dyDescent="0.35">
      <c r="F15">
        <v>52</v>
      </c>
    </row>
    <row r="16" spans="6:10" x14ac:dyDescent="0.35">
      <c r="F16">
        <v>12</v>
      </c>
    </row>
    <row r="17" spans="5:6" x14ac:dyDescent="0.35">
      <c r="F17" s="9"/>
    </row>
    <row r="18" spans="5:6" x14ac:dyDescent="0.35">
      <c r="F18" s="9"/>
    </row>
    <row r="19" spans="5:6" x14ac:dyDescent="0.35">
      <c r="E19" s="6"/>
      <c r="F19" s="9"/>
    </row>
    <row r="20" spans="5:6" hidden="1" x14ac:dyDescent="0.35">
      <c r="F20" s="9"/>
    </row>
    <row r="21" spans="5:6" x14ac:dyDescent="0.35">
      <c r="F21">
        <v>81</v>
      </c>
    </row>
    <row r="26" spans="5:6" x14ac:dyDescent="0.35">
      <c r="E26" s="47"/>
      <c r="F26" s="48"/>
    </row>
    <row r="27" spans="5:6" x14ac:dyDescent="0.35">
      <c r="E27" s="47"/>
      <c r="F27" s="48"/>
    </row>
    <row r="28" spans="5:6" x14ac:dyDescent="0.35">
      <c r="E28" s="47"/>
      <c r="F28" s="48"/>
    </row>
    <row r="30" spans="5:6" x14ac:dyDescent="0.35">
      <c r="E30" s="46"/>
    </row>
    <row r="31" spans="5:6" x14ac:dyDescent="0.35">
      <c r="E31" s="48"/>
    </row>
    <row r="71" spans="5:5" ht="15.5" x14ac:dyDescent="0.35">
      <c r="E71" s="53"/>
    </row>
    <row r="108" spans="5:6" x14ac:dyDescent="0.35">
      <c r="E108">
        <v>81</v>
      </c>
    </row>
    <row r="110" spans="5:6" x14ac:dyDescent="0.35">
      <c r="E110">
        <v>69</v>
      </c>
      <c r="F110" t="s">
        <v>141</v>
      </c>
    </row>
  </sheetData>
  <mergeCells count="1">
    <mergeCell ref="H3:J3"/>
  </mergeCells>
  <pageMargins left="0.7" right="0.7" top="0.75" bottom="0.75" header="0.3" footer="0.3"/>
  <headerFooter>
    <oddFooter>&amp;L_x000D_&amp;1#&amp;"Aptos"&amp;10&amp;KFF0000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6C6D-6A1D-4FBB-8BD0-EEB3B434CE6A}">
  <sheetPr filterMode="1"/>
  <dimension ref="A1:K133"/>
  <sheetViews>
    <sheetView topLeftCell="A131" workbookViewId="0">
      <selection activeCell="G147" sqref="G147"/>
    </sheetView>
  </sheetViews>
  <sheetFormatPr defaultRowHeight="14.5" x14ac:dyDescent="0.35"/>
  <cols>
    <col min="1" max="1" width="19.7265625" customWidth="1"/>
    <col min="2" max="2" width="27.453125" customWidth="1"/>
    <col min="8" max="8" width="30.1796875" customWidth="1"/>
    <col min="9" max="9" width="39.453125" customWidth="1"/>
    <col min="10" max="10" width="39.7265625" customWidth="1"/>
    <col min="11" max="11" width="9.1796875" style="28"/>
  </cols>
  <sheetData>
    <row r="1" spans="1:11" x14ac:dyDescent="0.35">
      <c r="A1" s="10" t="s">
        <v>142</v>
      </c>
      <c r="B1" s="21" t="s">
        <v>143</v>
      </c>
      <c r="C1" s="10" t="s">
        <v>144</v>
      </c>
      <c r="D1" s="10" t="s">
        <v>145</v>
      </c>
      <c r="E1" s="10" t="s">
        <v>146</v>
      </c>
      <c r="F1" s="10" t="s">
        <v>147</v>
      </c>
      <c r="G1" s="10" t="s">
        <v>148</v>
      </c>
      <c r="H1" s="17" t="s">
        <v>149</v>
      </c>
      <c r="I1" s="17" t="s">
        <v>150</v>
      </c>
      <c r="J1" s="17" t="s">
        <v>151</v>
      </c>
      <c r="K1" s="34" t="s">
        <v>152</v>
      </c>
    </row>
    <row r="2" spans="1:11" ht="50.25" customHeight="1" x14ac:dyDescent="0.35">
      <c r="A2" s="20" t="s">
        <v>153</v>
      </c>
      <c r="B2" s="159" t="s">
        <v>154</v>
      </c>
      <c r="C2" s="12" t="s">
        <v>155</v>
      </c>
      <c r="D2" s="12" t="s">
        <v>156</v>
      </c>
      <c r="E2" s="12" t="s">
        <v>157</v>
      </c>
      <c r="F2" s="12" t="s">
        <v>158</v>
      </c>
      <c r="G2" s="22" t="s">
        <v>159</v>
      </c>
      <c r="H2" s="174" t="s">
        <v>160</v>
      </c>
      <c r="I2" s="159" t="s">
        <v>161</v>
      </c>
      <c r="J2" s="7" t="s">
        <v>156</v>
      </c>
      <c r="K2" s="35">
        <v>1</v>
      </c>
    </row>
    <row r="3" spans="1:11" s="24" customFormat="1" ht="26" hidden="1" x14ac:dyDescent="0.35">
      <c r="A3" s="29" t="s">
        <v>162</v>
      </c>
      <c r="B3" s="159"/>
      <c r="C3" s="30" t="s">
        <v>155</v>
      </c>
      <c r="D3" s="30" t="s">
        <v>156</v>
      </c>
      <c r="E3" s="30" t="s">
        <v>157</v>
      </c>
      <c r="F3" s="30" t="s">
        <v>163</v>
      </c>
      <c r="G3" s="54" t="s">
        <v>164</v>
      </c>
      <c r="H3" s="174"/>
      <c r="I3" s="159"/>
      <c r="J3" s="31" t="s">
        <v>156</v>
      </c>
      <c r="K3" s="55">
        <v>1</v>
      </c>
    </row>
    <row r="4" spans="1:11" s="24" customFormat="1" ht="26" hidden="1" x14ac:dyDescent="0.35">
      <c r="A4" s="29" t="s">
        <v>165</v>
      </c>
      <c r="B4" s="159"/>
      <c r="C4" s="30" t="s">
        <v>155</v>
      </c>
      <c r="D4" s="30" t="s">
        <v>156</v>
      </c>
      <c r="E4" s="30" t="s">
        <v>157</v>
      </c>
      <c r="F4" s="30" t="s">
        <v>158</v>
      </c>
      <c r="G4" s="54" t="s">
        <v>166</v>
      </c>
      <c r="H4" s="174"/>
      <c r="I4" s="159"/>
      <c r="J4" s="31" t="s">
        <v>156</v>
      </c>
      <c r="K4" s="55">
        <v>1</v>
      </c>
    </row>
    <row r="5" spans="1:11" ht="26" x14ac:dyDescent="0.35">
      <c r="A5" s="20" t="s">
        <v>167</v>
      </c>
      <c r="B5" s="173"/>
      <c r="C5" s="15" t="s">
        <v>155</v>
      </c>
      <c r="D5" s="15" t="s">
        <v>156</v>
      </c>
      <c r="E5" s="15" t="s">
        <v>168</v>
      </c>
      <c r="F5" s="15" t="s">
        <v>163</v>
      </c>
      <c r="G5" s="16" t="s">
        <v>169</v>
      </c>
      <c r="H5" s="171"/>
      <c r="I5" s="159"/>
      <c r="J5" s="7" t="s">
        <v>156</v>
      </c>
      <c r="K5" s="35">
        <v>1</v>
      </c>
    </row>
    <row r="6" spans="1:11" ht="38.25" customHeight="1" x14ac:dyDescent="0.35">
      <c r="A6" s="20" t="s">
        <v>170</v>
      </c>
      <c r="B6" s="172" t="s">
        <v>171</v>
      </c>
      <c r="C6" s="7" t="s">
        <v>155</v>
      </c>
      <c r="D6" s="7" t="s">
        <v>172</v>
      </c>
      <c r="E6" s="7" t="s">
        <v>168</v>
      </c>
      <c r="F6" s="18" t="s">
        <v>163</v>
      </c>
      <c r="G6" s="19" t="s">
        <v>159</v>
      </c>
      <c r="H6" s="174" t="s">
        <v>173</v>
      </c>
      <c r="I6" s="170" t="s">
        <v>174</v>
      </c>
      <c r="J6" s="7" t="s">
        <v>156</v>
      </c>
      <c r="K6" s="35">
        <v>1</v>
      </c>
    </row>
    <row r="7" spans="1:11" ht="26" x14ac:dyDescent="0.35">
      <c r="A7" s="20" t="s">
        <v>175</v>
      </c>
      <c r="B7" s="159"/>
      <c r="C7" s="36" t="s">
        <v>155</v>
      </c>
      <c r="D7" s="36" t="s">
        <v>176</v>
      </c>
      <c r="E7" s="36" t="s">
        <v>168</v>
      </c>
      <c r="F7" s="7" t="s">
        <v>158</v>
      </c>
      <c r="G7" s="19" t="s">
        <v>164</v>
      </c>
      <c r="H7" s="174"/>
      <c r="I7" s="170"/>
      <c r="J7" s="7" t="s">
        <v>156</v>
      </c>
      <c r="K7" s="35">
        <v>1</v>
      </c>
    </row>
    <row r="8" spans="1:11" ht="26" x14ac:dyDescent="0.35">
      <c r="A8" s="20" t="s">
        <v>177</v>
      </c>
      <c r="B8" s="159"/>
      <c r="C8" s="7" t="s">
        <v>155</v>
      </c>
      <c r="D8" s="11" t="s">
        <v>172</v>
      </c>
      <c r="E8" s="7" t="s">
        <v>168</v>
      </c>
      <c r="F8" s="7" t="s">
        <v>163</v>
      </c>
      <c r="G8" s="19" t="s">
        <v>166</v>
      </c>
      <c r="H8" s="174"/>
      <c r="I8" s="170"/>
      <c r="J8" s="7" t="s">
        <v>156</v>
      </c>
      <c r="K8" s="35">
        <v>1</v>
      </c>
    </row>
    <row r="9" spans="1:11" ht="26" x14ac:dyDescent="0.35">
      <c r="A9" s="20" t="s">
        <v>178</v>
      </c>
      <c r="B9" s="159"/>
      <c r="C9" s="7" t="s">
        <v>155</v>
      </c>
      <c r="D9" s="7" t="s">
        <v>176</v>
      </c>
      <c r="E9" s="7" t="s">
        <v>168</v>
      </c>
      <c r="F9" s="7" t="s">
        <v>158</v>
      </c>
      <c r="G9" s="19" t="s">
        <v>169</v>
      </c>
      <c r="H9" s="174"/>
      <c r="I9" s="170"/>
      <c r="J9" s="7" t="s">
        <v>156</v>
      </c>
      <c r="K9" s="35">
        <v>1</v>
      </c>
    </row>
    <row r="10" spans="1:11" ht="26" x14ac:dyDescent="0.35">
      <c r="A10" s="20" t="s">
        <v>179</v>
      </c>
      <c r="B10" s="159" t="s">
        <v>171</v>
      </c>
      <c r="C10" s="7" t="s">
        <v>155</v>
      </c>
      <c r="D10" s="11" t="s">
        <v>172</v>
      </c>
      <c r="E10" s="7" t="s">
        <v>168</v>
      </c>
      <c r="F10" s="7" t="s">
        <v>158</v>
      </c>
      <c r="G10" s="19" t="s">
        <v>159</v>
      </c>
      <c r="H10" s="174" t="s">
        <v>180</v>
      </c>
      <c r="I10" s="170" t="s">
        <v>181</v>
      </c>
      <c r="J10" s="13" t="s">
        <v>182</v>
      </c>
      <c r="K10" s="27">
        <v>1</v>
      </c>
    </row>
    <row r="11" spans="1:11" ht="26" x14ac:dyDescent="0.35">
      <c r="A11" s="20" t="s">
        <v>183</v>
      </c>
      <c r="B11" s="159"/>
      <c r="C11" s="7" t="s">
        <v>155</v>
      </c>
      <c r="D11" s="7" t="s">
        <v>176</v>
      </c>
      <c r="E11" s="7" t="s">
        <v>168</v>
      </c>
      <c r="F11" s="7" t="s">
        <v>163</v>
      </c>
      <c r="G11" s="19" t="s">
        <v>164</v>
      </c>
      <c r="H11" s="174"/>
      <c r="I11" s="170"/>
      <c r="J11" s="13" t="s">
        <v>184</v>
      </c>
      <c r="K11" s="27">
        <v>1</v>
      </c>
    </row>
    <row r="12" spans="1:11" ht="26" x14ac:dyDescent="0.35">
      <c r="A12" s="20" t="s">
        <v>185</v>
      </c>
      <c r="B12" s="159"/>
      <c r="C12" s="7" t="s">
        <v>155</v>
      </c>
      <c r="D12" s="11" t="s">
        <v>172</v>
      </c>
      <c r="E12" s="7" t="s">
        <v>168</v>
      </c>
      <c r="F12" s="7" t="s">
        <v>158</v>
      </c>
      <c r="G12" s="19" t="s">
        <v>166</v>
      </c>
      <c r="H12" s="174"/>
      <c r="I12" s="170"/>
      <c r="J12" s="13" t="s">
        <v>182</v>
      </c>
      <c r="K12" s="27">
        <v>1</v>
      </c>
    </row>
    <row r="13" spans="1:11" ht="26" x14ac:dyDescent="0.35">
      <c r="A13" s="20" t="s">
        <v>186</v>
      </c>
      <c r="B13" s="159"/>
      <c r="C13" s="7" t="s">
        <v>155</v>
      </c>
      <c r="D13" s="7" t="s">
        <v>176</v>
      </c>
      <c r="E13" s="7" t="s">
        <v>168</v>
      </c>
      <c r="F13" s="7" t="s">
        <v>158</v>
      </c>
      <c r="G13" s="19" t="s">
        <v>169</v>
      </c>
      <c r="H13" s="171"/>
      <c r="I13" s="170"/>
      <c r="J13" s="13" t="s">
        <v>184</v>
      </c>
      <c r="K13" s="27">
        <v>1</v>
      </c>
    </row>
    <row r="14" spans="1:11" ht="78.75" customHeight="1" x14ac:dyDescent="0.35">
      <c r="A14" s="20" t="s">
        <v>187</v>
      </c>
      <c r="B14" s="159" t="s">
        <v>171</v>
      </c>
      <c r="C14" s="7" t="s">
        <v>155</v>
      </c>
      <c r="D14" s="7" t="s">
        <v>176</v>
      </c>
      <c r="E14" s="7" t="s">
        <v>168</v>
      </c>
      <c r="F14" s="7" t="s">
        <v>158</v>
      </c>
      <c r="G14" s="19" t="s">
        <v>159</v>
      </c>
      <c r="H14" s="172" t="s">
        <v>188</v>
      </c>
      <c r="I14" s="159" t="s">
        <v>189</v>
      </c>
      <c r="J14" s="96" t="s">
        <v>190</v>
      </c>
      <c r="K14" s="37">
        <v>2</v>
      </c>
    </row>
    <row r="15" spans="1:11" ht="50.25" customHeight="1" x14ac:dyDescent="0.35">
      <c r="A15" s="20" t="s">
        <v>191</v>
      </c>
      <c r="B15" s="159"/>
      <c r="C15" s="7" t="s">
        <v>155</v>
      </c>
      <c r="D15" s="7" t="s">
        <v>172</v>
      </c>
      <c r="E15" s="7" t="s">
        <v>168</v>
      </c>
      <c r="F15" s="7" t="s">
        <v>163</v>
      </c>
      <c r="G15" s="19" t="s">
        <v>164</v>
      </c>
      <c r="H15" s="172"/>
      <c r="I15" s="172"/>
      <c r="J15" s="13" t="s">
        <v>192</v>
      </c>
      <c r="K15" s="27">
        <v>2</v>
      </c>
    </row>
    <row r="16" spans="1:11" ht="50.25" customHeight="1" x14ac:dyDescent="0.35">
      <c r="A16" s="20" t="s">
        <v>193</v>
      </c>
      <c r="B16" s="159"/>
      <c r="C16" s="7" t="s">
        <v>155</v>
      </c>
      <c r="D16" s="7" t="s">
        <v>172</v>
      </c>
      <c r="E16" s="7" t="s">
        <v>168</v>
      </c>
      <c r="F16" s="7" t="s">
        <v>158</v>
      </c>
      <c r="G16" s="19" t="s">
        <v>166</v>
      </c>
      <c r="H16" s="172"/>
      <c r="I16" s="172"/>
      <c r="J16" s="14" t="s">
        <v>190</v>
      </c>
      <c r="K16" s="27">
        <v>2</v>
      </c>
    </row>
    <row r="17" spans="1:11" ht="50.25" customHeight="1" x14ac:dyDescent="0.35">
      <c r="A17" s="20" t="s">
        <v>194</v>
      </c>
      <c r="B17" s="173"/>
      <c r="C17" s="8" t="s">
        <v>155</v>
      </c>
      <c r="D17" s="8" t="s">
        <v>176</v>
      </c>
      <c r="E17" s="8" t="s">
        <v>168</v>
      </c>
      <c r="F17" s="8" t="s">
        <v>163</v>
      </c>
      <c r="G17" s="23" t="s">
        <v>169</v>
      </c>
      <c r="H17" s="167"/>
      <c r="I17" s="172"/>
      <c r="J17" s="13" t="s">
        <v>192</v>
      </c>
      <c r="K17" s="27">
        <v>2</v>
      </c>
    </row>
    <row r="18" spans="1:11" ht="47.25" customHeight="1" x14ac:dyDescent="0.35">
      <c r="A18" s="20" t="s">
        <v>195</v>
      </c>
      <c r="B18" s="159" t="s">
        <v>171</v>
      </c>
      <c r="C18" s="7" t="s">
        <v>155</v>
      </c>
      <c r="D18" s="7" t="s">
        <v>172</v>
      </c>
      <c r="E18" s="7" t="s">
        <v>168</v>
      </c>
      <c r="F18" s="7" t="s">
        <v>158</v>
      </c>
      <c r="G18" s="3" t="s">
        <v>159</v>
      </c>
      <c r="H18" s="172" t="s">
        <v>196</v>
      </c>
      <c r="I18" s="159" t="s">
        <v>197</v>
      </c>
      <c r="J18" s="38" t="s">
        <v>198</v>
      </c>
      <c r="K18" s="39">
        <v>3</v>
      </c>
    </row>
    <row r="19" spans="1:11" ht="63" customHeight="1" x14ac:dyDescent="0.35">
      <c r="A19" s="20" t="s">
        <v>199</v>
      </c>
      <c r="B19" s="159"/>
      <c r="C19" s="7" t="s">
        <v>155</v>
      </c>
      <c r="D19" s="7" t="s">
        <v>176</v>
      </c>
      <c r="E19" s="7" t="s">
        <v>168</v>
      </c>
      <c r="F19" s="7" t="s">
        <v>163</v>
      </c>
      <c r="G19" s="3" t="s">
        <v>164</v>
      </c>
      <c r="H19" s="172"/>
      <c r="I19" s="159" t="s">
        <v>197</v>
      </c>
      <c r="J19" s="13" t="s">
        <v>198</v>
      </c>
      <c r="K19" s="27">
        <v>3</v>
      </c>
    </row>
    <row r="20" spans="1:11" ht="63" customHeight="1" x14ac:dyDescent="0.35">
      <c r="A20" s="20" t="s">
        <v>200</v>
      </c>
      <c r="B20" s="159"/>
      <c r="C20" s="7" t="s">
        <v>155</v>
      </c>
      <c r="D20" s="7" t="s">
        <v>172</v>
      </c>
      <c r="E20" s="7" t="s">
        <v>168</v>
      </c>
      <c r="F20" s="7" t="s">
        <v>163</v>
      </c>
      <c r="G20" s="3" t="s">
        <v>166</v>
      </c>
      <c r="H20" s="172"/>
      <c r="I20" s="159" t="s">
        <v>197</v>
      </c>
      <c r="J20" s="13" t="s">
        <v>198</v>
      </c>
      <c r="K20" s="27">
        <v>3</v>
      </c>
    </row>
    <row r="21" spans="1:11" ht="63" customHeight="1" x14ac:dyDescent="0.35">
      <c r="A21" s="20" t="s">
        <v>201</v>
      </c>
      <c r="B21" s="159"/>
      <c r="C21" s="7" t="s">
        <v>155</v>
      </c>
      <c r="D21" s="7" t="s">
        <v>176</v>
      </c>
      <c r="E21" s="7" t="s">
        <v>168</v>
      </c>
      <c r="F21" s="7" t="s">
        <v>158</v>
      </c>
      <c r="G21" s="3" t="s">
        <v>169</v>
      </c>
      <c r="H21" s="172"/>
      <c r="I21" s="159" t="s">
        <v>197</v>
      </c>
      <c r="J21" s="13" t="s">
        <v>198</v>
      </c>
      <c r="K21" s="27">
        <v>3</v>
      </c>
    </row>
    <row r="22" spans="1:11" ht="26" x14ac:dyDescent="0.35">
      <c r="A22" s="20" t="s">
        <v>202</v>
      </c>
      <c r="B22" s="159" t="s">
        <v>203</v>
      </c>
      <c r="C22" s="7" t="s">
        <v>155</v>
      </c>
      <c r="D22" s="7" t="s">
        <v>172</v>
      </c>
      <c r="E22" s="7" t="s">
        <v>156</v>
      </c>
      <c r="F22" s="7" t="s">
        <v>158</v>
      </c>
      <c r="G22" s="3" t="s">
        <v>159</v>
      </c>
      <c r="H22" s="172" t="s">
        <v>204</v>
      </c>
      <c r="I22" s="159" t="s">
        <v>204</v>
      </c>
      <c r="J22" s="13" t="s">
        <v>157</v>
      </c>
      <c r="K22" s="27">
        <v>1</v>
      </c>
    </row>
    <row r="23" spans="1:11" ht="26.5" x14ac:dyDescent="0.35">
      <c r="A23" s="20" t="s">
        <v>205</v>
      </c>
      <c r="B23" s="159"/>
      <c r="C23" s="7" t="s">
        <v>155</v>
      </c>
      <c r="D23" s="7" t="s">
        <v>176</v>
      </c>
      <c r="E23" s="7" t="s">
        <v>156</v>
      </c>
      <c r="F23" s="7" t="s">
        <v>163</v>
      </c>
      <c r="G23" s="3" t="s">
        <v>164</v>
      </c>
      <c r="H23" s="172"/>
      <c r="I23" s="159" t="s">
        <v>197</v>
      </c>
      <c r="J23" s="13" t="s">
        <v>206</v>
      </c>
      <c r="K23" s="27">
        <v>1</v>
      </c>
    </row>
    <row r="24" spans="1:11" ht="26" x14ac:dyDescent="0.35">
      <c r="A24" s="20" t="s">
        <v>207</v>
      </c>
      <c r="B24" s="159"/>
      <c r="C24" s="7" t="s">
        <v>155</v>
      </c>
      <c r="D24" s="7" t="s">
        <v>172</v>
      </c>
      <c r="E24" s="7" t="s">
        <v>156</v>
      </c>
      <c r="F24" s="7" t="s">
        <v>163</v>
      </c>
      <c r="G24" s="3" t="s">
        <v>166</v>
      </c>
      <c r="H24" s="172"/>
      <c r="I24" s="159" t="s">
        <v>197</v>
      </c>
      <c r="J24" s="13" t="s">
        <v>157</v>
      </c>
      <c r="K24" s="27">
        <v>1</v>
      </c>
    </row>
    <row r="25" spans="1:11" ht="26.5" x14ac:dyDescent="0.35">
      <c r="A25" s="20" t="s">
        <v>208</v>
      </c>
      <c r="B25" s="159"/>
      <c r="C25" s="7" t="s">
        <v>155</v>
      </c>
      <c r="D25" s="7" t="s">
        <v>176</v>
      </c>
      <c r="E25" s="7" t="s">
        <v>156</v>
      </c>
      <c r="F25" s="7" t="s">
        <v>158</v>
      </c>
      <c r="G25" s="3" t="s">
        <v>169</v>
      </c>
      <c r="H25" s="172"/>
      <c r="I25" s="159" t="s">
        <v>197</v>
      </c>
      <c r="J25" s="13" t="s">
        <v>206</v>
      </c>
      <c r="K25" s="27">
        <v>1</v>
      </c>
    </row>
    <row r="26" spans="1:11" ht="26" x14ac:dyDescent="0.35">
      <c r="A26" s="20" t="s">
        <v>209</v>
      </c>
      <c r="B26" s="159" t="s">
        <v>210</v>
      </c>
      <c r="C26" s="7" t="s">
        <v>155</v>
      </c>
      <c r="D26" s="7" t="s">
        <v>172</v>
      </c>
      <c r="E26" s="7" t="s">
        <v>156</v>
      </c>
      <c r="F26" s="7" t="s">
        <v>158</v>
      </c>
      <c r="G26" s="3" t="s">
        <v>159</v>
      </c>
      <c r="H26" s="172" t="s">
        <v>211</v>
      </c>
      <c r="I26" s="159" t="s">
        <v>212</v>
      </c>
      <c r="J26" s="13" t="s">
        <v>157</v>
      </c>
      <c r="K26" s="27">
        <v>1</v>
      </c>
    </row>
    <row r="27" spans="1:11" ht="26" x14ac:dyDescent="0.35">
      <c r="A27" s="20" t="s">
        <v>213</v>
      </c>
      <c r="B27" s="159"/>
      <c r="C27" s="7" t="s">
        <v>155</v>
      </c>
      <c r="D27" s="7" t="s">
        <v>176</v>
      </c>
      <c r="E27" s="7" t="s">
        <v>156</v>
      </c>
      <c r="F27" s="7" t="s">
        <v>163</v>
      </c>
      <c r="G27" s="3" t="s">
        <v>164</v>
      </c>
      <c r="H27" s="172"/>
      <c r="I27" s="159"/>
      <c r="J27" s="13" t="s">
        <v>157</v>
      </c>
      <c r="K27" s="27">
        <v>1</v>
      </c>
    </row>
    <row r="28" spans="1:11" ht="26" x14ac:dyDescent="0.35">
      <c r="A28" s="20" t="s">
        <v>214</v>
      </c>
      <c r="B28" s="159"/>
      <c r="C28" s="7" t="s">
        <v>155</v>
      </c>
      <c r="D28" s="7" t="s">
        <v>172</v>
      </c>
      <c r="E28" s="7" t="s">
        <v>156</v>
      </c>
      <c r="F28" s="7" t="s">
        <v>163</v>
      </c>
      <c r="G28" s="3" t="s">
        <v>166</v>
      </c>
      <c r="H28" s="172"/>
      <c r="I28" s="159"/>
      <c r="J28" s="13" t="s">
        <v>157</v>
      </c>
      <c r="K28" s="27">
        <v>1</v>
      </c>
    </row>
    <row r="29" spans="1:11" ht="26" x14ac:dyDescent="0.35">
      <c r="A29" s="4" t="s">
        <v>215</v>
      </c>
      <c r="B29" s="173"/>
      <c r="C29" s="8" t="s">
        <v>155</v>
      </c>
      <c r="D29" s="8" t="s">
        <v>176</v>
      </c>
      <c r="E29" s="8" t="s">
        <v>156</v>
      </c>
      <c r="F29" s="8" t="s">
        <v>158</v>
      </c>
      <c r="G29" s="5" t="s">
        <v>169</v>
      </c>
      <c r="H29" s="167"/>
      <c r="I29" s="159"/>
      <c r="J29" s="13" t="s">
        <v>157</v>
      </c>
      <c r="K29" s="27">
        <v>1</v>
      </c>
    </row>
    <row r="30" spans="1:11" ht="75.75" customHeight="1" x14ac:dyDescent="0.35">
      <c r="A30" s="14" t="s">
        <v>216</v>
      </c>
      <c r="B30" s="159" t="s">
        <v>210</v>
      </c>
      <c r="C30" s="18" t="s">
        <v>155</v>
      </c>
      <c r="D30" s="7" t="s">
        <v>172</v>
      </c>
      <c r="E30" s="7" t="s">
        <v>156</v>
      </c>
      <c r="F30" s="7" t="s">
        <v>158</v>
      </c>
      <c r="G30" s="3" t="s">
        <v>159</v>
      </c>
      <c r="H30" s="172" t="s">
        <v>211</v>
      </c>
      <c r="I30" s="159" t="s">
        <v>212</v>
      </c>
      <c r="J30" s="14" t="s">
        <v>206</v>
      </c>
      <c r="K30" s="27">
        <v>1</v>
      </c>
    </row>
    <row r="31" spans="1:11" ht="26" x14ac:dyDescent="0.35">
      <c r="A31" s="14" t="s">
        <v>217</v>
      </c>
      <c r="B31" s="159"/>
      <c r="C31" s="18" t="s">
        <v>155</v>
      </c>
      <c r="D31" s="7" t="s">
        <v>176</v>
      </c>
      <c r="E31" s="7" t="s">
        <v>156</v>
      </c>
      <c r="F31" s="7" t="s">
        <v>163</v>
      </c>
      <c r="G31" s="3" t="s">
        <v>164</v>
      </c>
      <c r="H31" s="172"/>
      <c r="I31" s="159"/>
      <c r="J31" s="14" t="s">
        <v>206</v>
      </c>
      <c r="K31" s="27">
        <v>1</v>
      </c>
    </row>
    <row r="32" spans="1:11" ht="26" x14ac:dyDescent="0.35">
      <c r="A32" s="14" t="s">
        <v>218</v>
      </c>
      <c r="B32" s="159"/>
      <c r="C32" s="18" t="s">
        <v>155</v>
      </c>
      <c r="D32" s="7" t="s">
        <v>172</v>
      </c>
      <c r="E32" s="7" t="s">
        <v>156</v>
      </c>
      <c r="F32" s="7" t="s">
        <v>163</v>
      </c>
      <c r="G32" s="3" t="s">
        <v>166</v>
      </c>
      <c r="H32" s="172"/>
      <c r="I32" s="159"/>
      <c r="J32" s="14" t="s">
        <v>206</v>
      </c>
      <c r="K32" s="27">
        <v>1</v>
      </c>
    </row>
    <row r="33" spans="1:11" ht="26" x14ac:dyDescent="0.35">
      <c r="A33" s="14" t="s">
        <v>219</v>
      </c>
      <c r="B33" s="159"/>
      <c r="C33" s="18" t="s">
        <v>155</v>
      </c>
      <c r="D33" s="7" t="s">
        <v>176</v>
      </c>
      <c r="E33" s="7" t="s">
        <v>156</v>
      </c>
      <c r="F33" s="7" t="s">
        <v>158</v>
      </c>
      <c r="G33" s="3" t="s">
        <v>169</v>
      </c>
      <c r="H33" s="172"/>
      <c r="I33" s="159"/>
      <c r="J33" s="14" t="s">
        <v>206</v>
      </c>
      <c r="K33" s="27">
        <v>1</v>
      </c>
    </row>
    <row r="34" spans="1:11" ht="25.5" customHeight="1" x14ac:dyDescent="0.35">
      <c r="A34" s="14" t="s">
        <v>216</v>
      </c>
      <c r="B34" s="159" t="s">
        <v>210</v>
      </c>
      <c r="C34" s="18" t="s">
        <v>155</v>
      </c>
      <c r="D34" s="7" t="s">
        <v>172</v>
      </c>
      <c r="E34" s="7" t="s">
        <v>156</v>
      </c>
      <c r="F34" s="7" t="s">
        <v>158</v>
      </c>
      <c r="G34" s="3" t="s">
        <v>159</v>
      </c>
      <c r="H34" s="171" t="s">
        <v>220</v>
      </c>
      <c r="I34" s="170" t="s">
        <v>221</v>
      </c>
      <c r="J34" s="13" t="s">
        <v>222</v>
      </c>
      <c r="K34" s="27">
        <v>2</v>
      </c>
    </row>
    <row r="35" spans="1:11" ht="63" customHeight="1" x14ac:dyDescent="0.35">
      <c r="A35" s="14" t="s">
        <v>217</v>
      </c>
      <c r="B35" s="159"/>
      <c r="C35" s="18" t="s">
        <v>155</v>
      </c>
      <c r="D35" s="7" t="s">
        <v>176</v>
      </c>
      <c r="E35" s="7" t="s">
        <v>156</v>
      </c>
      <c r="F35" s="7" t="s">
        <v>163</v>
      </c>
      <c r="G35" s="3" t="s">
        <v>164</v>
      </c>
      <c r="H35" s="168"/>
      <c r="I35" s="170" t="s">
        <v>212</v>
      </c>
      <c r="J35" s="13" t="s">
        <v>222</v>
      </c>
      <c r="K35" s="27">
        <v>2</v>
      </c>
    </row>
    <row r="36" spans="1:11" ht="63" customHeight="1" x14ac:dyDescent="0.35">
      <c r="A36" s="14" t="s">
        <v>218</v>
      </c>
      <c r="B36" s="159"/>
      <c r="C36" s="18" t="s">
        <v>155</v>
      </c>
      <c r="D36" s="7" t="s">
        <v>172</v>
      </c>
      <c r="E36" s="7" t="s">
        <v>156</v>
      </c>
      <c r="F36" s="7" t="s">
        <v>163</v>
      </c>
      <c r="G36" s="3" t="s">
        <v>166</v>
      </c>
      <c r="H36" s="168"/>
      <c r="I36" s="170" t="s">
        <v>212</v>
      </c>
      <c r="J36" s="13" t="s">
        <v>222</v>
      </c>
      <c r="K36" s="27">
        <v>2</v>
      </c>
    </row>
    <row r="37" spans="1:11" ht="63" customHeight="1" x14ac:dyDescent="0.35">
      <c r="A37" s="14" t="s">
        <v>219</v>
      </c>
      <c r="B37" s="159"/>
      <c r="C37" s="18" t="s">
        <v>155</v>
      </c>
      <c r="D37" s="7" t="s">
        <v>176</v>
      </c>
      <c r="E37" s="7" t="s">
        <v>156</v>
      </c>
      <c r="F37" s="7" t="s">
        <v>158</v>
      </c>
      <c r="G37" s="3" t="s">
        <v>169</v>
      </c>
      <c r="H37" s="169"/>
      <c r="I37" s="170" t="s">
        <v>212</v>
      </c>
      <c r="J37" s="13" t="s">
        <v>222</v>
      </c>
      <c r="K37" s="27">
        <v>2</v>
      </c>
    </row>
    <row r="38" spans="1:11" ht="26" x14ac:dyDescent="0.35">
      <c r="A38" s="14" t="s">
        <v>216</v>
      </c>
      <c r="B38" s="159" t="s">
        <v>210</v>
      </c>
      <c r="C38" s="18" t="s">
        <v>155</v>
      </c>
      <c r="D38" s="7" t="s">
        <v>172</v>
      </c>
      <c r="E38" s="7" t="s">
        <v>156</v>
      </c>
      <c r="F38" s="7" t="s">
        <v>158</v>
      </c>
      <c r="G38" s="3" t="s">
        <v>159</v>
      </c>
      <c r="H38" s="167" t="s">
        <v>223</v>
      </c>
      <c r="I38" s="170" t="s">
        <v>224</v>
      </c>
      <c r="J38" s="13" t="s">
        <v>168</v>
      </c>
      <c r="K38" s="27">
        <v>1</v>
      </c>
    </row>
    <row r="39" spans="1:11" ht="26" x14ac:dyDescent="0.35">
      <c r="A39" s="14" t="s">
        <v>217</v>
      </c>
      <c r="B39" s="159"/>
      <c r="C39" s="18" t="s">
        <v>155</v>
      </c>
      <c r="D39" s="7" t="s">
        <v>176</v>
      </c>
      <c r="E39" s="7" t="s">
        <v>156</v>
      </c>
      <c r="F39" s="7" t="s">
        <v>163</v>
      </c>
      <c r="G39" s="3" t="s">
        <v>164</v>
      </c>
      <c r="H39" s="168"/>
      <c r="I39" s="170" t="s">
        <v>212</v>
      </c>
      <c r="J39" s="13" t="s">
        <v>157</v>
      </c>
      <c r="K39" s="27">
        <v>1</v>
      </c>
    </row>
    <row r="40" spans="1:11" ht="26" x14ac:dyDescent="0.35">
      <c r="A40" s="14" t="s">
        <v>218</v>
      </c>
      <c r="B40" s="159"/>
      <c r="C40" s="18" t="s">
        <v>155</v>
      </c>
      <c r="D40" s="7" t="s">
        <v>172</v>
      </c>
      <c r="E40" s="7" t="s">
        <v>156</v>
      </c>
      <c r="F40" s="7" t="s">
        <v>163</v>
      </c>
      <c r="G40" s="3" t="s">
        <v>166</v>
      </c>
      <c r="H40" s="168"/>
      <c r="I40" s="170" t="s">
        <v>212</v>
      </c>
      <c r="J40" s="13" t="s">
        <v>157</v>
      </c>
      <c r="K40" s="27">
        <v>1</v>
      </c>
    </row>
    <row r="41" spans="1:11" ht="26" x14ac:dyDescent="0.35">
      <c r="A41" s="14" t="s">
        <v>219</v>
      </c>
      <c r="B41" s="159"/>
      <c r="C41" s="18" t="s">
        <v>155</v>
      </c>
      <c r="D41" s="7" t="s">
        <v>176</v>
      </c>
      <c r="E41" s="7" t="s">
        <v>156</v>
      </c>
      <c r="F41" s="7" t="s">
        <v>158</v>
      </c>
      <c r="G41" s="3" t="s">
        <v>169</v>
      </c>
      <c r="H41" s="169"/>
      <c r="I41" s="170" t="s">
        <v>212</v>
      </c>
      <c r="J41" s="13" t="s">
        <v>168</v>
      </c>
      <c r="K41" s="27">
        <v>1</v>
      </c>
    </row>
    <row r="42" spans="1:11" ht="26" x14ac:dyDescent="0.35">
      <c r="A42" s="14" t="s">
        <v>216</v>
      </c>
      <c r="B42" s="159" t="s">
        <v>210</v>
      </c>
      <c r="C42" s="18" t="s">
        <v>155</v>
      </c>
      <c r="D42" s="7" t="s">
        <v>172</v>
      </c>
      <c r="E42" s="7" t="s">
        <v>156</v>
      </c>
      <c r="F42" s="7" t="s">
        <v>158</v>
      </c>
      <c r="G42" s="3" t="s">
        <v>159</v>
      </c>
      <c r="H42" s="167" t="s">
        <v>225</v>
      </c>
      <c r="I42" s="170" t="s">
        <v>226</v>
      </c>
      <c r="J42" s="13" t="s">
        <v>227</v>
      </c>
      <c r="K42" s="27">
        <v>1</v>
      </c>
    </row>
    <row r="43" spans="1:11" ht="26" x14ac:dyDescent="0.35">
      <c r="A43" s="14" t="s">
        <v>217</v>
      </c>
      <c r="B43" s="159"/>
      <c r="C43" s="18" t="s">
        <v>155</v>
      </c>
      <c r="D43" s="7" t="s">
        <v>176</v>
      </c>
      <c r="E43" s="7" t="s">
        <v>156</v>
      </c>
      <c r="F43" s="7" t="s">
        <v>163</v>
      </c>
      <c r="G43" s="3" t="s">
        <v>164</v>
      </c>
      <c r="H43" s="168"/>
      <c r="I43" s="170" t="s">
        <v>212</v>
      </c>
      <c r="J43" s="13" t="s">
        <v>228</v>
      </c>
      <c r="K43" s="27">
        <v>1</v>
      </c>
    </row>
    <row r="44" spans="1:11" ht="26" x14ac:dyDescent="0.35">
      <c r="A44" s="14" t="s">
        <v>218</v>
      </c>
      <c r="B44" s="159"/>
      <c r="C44" s="18" t="s">
        <v>155</v>
      </c>
      <c r="D44" s="7" t="s">
        <v>172</v>
      </c>
      <c r="E44" s="7" t="s">
        <v>156</v>
      </c>
      <c r="F44" s="7" t="s">
        <v>163</v>
      </c>
      <c r="G44" s="3" t="s">
        <v>166</v>
      </c>
      <c r="H44" s="168"/>
      <c r="I44" s="170" t="s">
        <v>212</v>
      </c>
      <c r="J44" s="13" t="s">
        <v>227</v>
      </c>
      <c r="K44" s="27">
        <v>1</v>
      </c>
    </row>
    <row r="45" spans="1:11" ht="26" x14ac:dyDescent="0.35">
      <c r="A45" s="14" t="s">
        <v>219</v>
      </c>
      <c r="B45" s="159"/>
      <c r="C45" s="18" t="s">
        <v>155</v>
      </c>
      <c r="D45" s="7" t="s">
        <v>176</v>
      </c>
      <c r="E45" s="7" t="s">
        <v>156</v>
      </c>
      <c r="F45" s="7" t="s">
        <v>158</v>
      </c>
      <c r="G45" s="3" t="s">
        <v>169</v>
      </c>
      <c r="H45" s="169"/>
      <c r="I45" s="170" t="s">
        <v>212</v>
      </c>
      <c r="J45" s="13" t="s">
        <v>228</v>
      </c>
      <c r="K45" s="27">
        <v>1</v>
      </c>
    </row>
    <row r="46" spans="1:11" ht="25.5" customHeight="1" x14ac:dyDescent="0.35">
      <c r="A46" s="14" t="s">
        <v>216</v>
      </c>
      <c r="B46" s="159" t="s">
        <v>210</v>
      </c>
      <c r="C46" s="18" t="s">
        <v>155</v>
      </c>
      <c r="D46" s="7" t="s">
        <v>172</v>
      </c>
      <c r="E46" s="7" t="s">
        <v>156</v>
      </c>
      <c r="F46" s="7" t="s">
        <v>158</v>
      </c>
      <c r="G46" s="3" t="s">
        <v>159</v>
      </c>
      <c r="H46" s="160" t="s">
        <v>229</v>
      </c>
      <c r="I46" s="159" t="s">
        <v>230</v>
      </c>
      <c r="J46" s="13" t="s">
        <v>227</v>
      </c>
      <c r="K46" s="27">
        <v>1</v>
      </c>
    </row>
    <row r="47" spans="1:11" ht="38.25" customHeight="1" x14ac:dyDescent="0.35">
      <c r="A47" s="14" t="s">
        <v>217</v>
      </c>
      <c r="B47" s="159"/>
      <c r="C47" s="18" t="s">
        <v>155</v>
      </c>
      <c r="D47" s="7" t="s">
        <v>176</v>
      </c>
      <c r="E47" s="7" t="s">
        <v>156</v>
      </c>
      <c r="F47" s="7" t="s">
        <v>163</v>
      </c>
      <c r="G47" s="3" t="s">
        <v>164</v>
      </c>
      <c r="H47" s="161"/>
      <c r="I47" s="159" t="s">
        <v>231</v>
      </c>
      <c r="J47" s="13" t="s">
        <v>228</v>
      </c>
      <c r="K47" s="27">
        <v>1</v>
      </c>
    </row>
    <row r="48" spans="1:11" ht="38.25" customHeight="1" x14ac:dyDescent="0.35">
      <c r="A48" s="14" t="s">
        <v>218</v>
      </c>
      <c r="B48" s="159"/>
      <c r="C48" s="18" t="s">
        <v>155</v>
      </c>
      <c r="D48" s="7" t="s">
        <v>172</v>
      </c>
      <c r="E48" s="7" t="s">
        <v>156</v>
      </c>
      <c r="F48" s="7" t="s">
        <v>163</v>
      </c>
      <c r="G48" s="3" t="s">
        <v>166</v>
      </c>
      <c r="H48" s="161"/>
      <c r="I48" s="159" t="s">
        <v>231</v>
      </c>
      <c r="J48" s="13" t="s">
        <v>227</v>
      </c>
      <c r="K48" s="27">
        <v>1</v>
      </c>
    </row>
    <row r="49" spans="1:11" ht="38.25" customHeight="1" x14ac:dyDescent="0.35">
      <c r="A49" s="14" t="s">
        <v>219</v>
      </c>
      <c r="B49" s="159"/>
      <c r="C49" s="18" t="s">
        <v>155</v>
      </c>
      <c r="D49" s="7" t="s">
        <v>176</v>
      </c>
      <c r="E49" s="7" t="s">
        <v>156</v>
      </c>
      <c r="F49" s="7" t="s">
        <v>158</v>
      </c>
      <c r="G49" s="3" t="s">
        <v>169</v>
      </c>
      <c r="H49" s="162"/>
      <c r="I49" s="159" t="s">
        <v>231</v>
      </c>
      <c r="J49" s="13" t="s">
        <v>228</v>
      </c>
      <c r="K49" s="27">
        <v>1</v>
      </c>
    </row>
    <row r="50" spans="1:11" ht="26" x14ac:dyDescent="0.35">
      <c r="A50" s="14" t="s">
        <v>216</v>
      </c>
      <c r="B50" s="159" t="s">
        <v>210</v>
      </c>
      <c r="C50" s="18" t="s">
        <v>155</v>
      </c>
      <c r="D50" s="7" t="s">
        <v>172</v>
      </c>
      <c r="E50" s="7" t="s">
        <v>156</v>
      </c>
      <c r="F50" s="7" t="s">
        <v>158</v>
      </c>
      <c r="G50" s="3" t="s">
        <v>159</v>
      </c>
      <c r="H50" s="160" t="s">
        <v>232</v>
      </c>
      <c r="I50" s="159" t="s">
        <v>233</v>
      </c>
      <c r="J50" s="13" t="s">
        <v>227</v>
      </c>
      <c r="K50" s="27">
        <v>1</v>
      </c>
    </row>
    <row r="51" spans="1:11" ht="26" x14ac:dyDescent="0.35">
      <c r="A51" s="14" t="s">
        <v>217</v>
      </c>
      <c r="B51" s="159"/>
      <c r="C51" s="18" t="s">
        <v>155</v>
      </c>
      <c r="D51" s="7" t="s">
        <v>176</v>
      </c>
      <c r="E51" s="7" t="s">
        <v>156</v>
      </c>
      <c r="F51" s="7" t="s">
        <v>163</v>
      </c>
      <c r="G51" s="3" t="s">
        <v>164</v>
      </c>
      <c r="H51" s="161"/>
      <c r="I51" s="159" t="s">
        <v>231</v>
      </c>
      <c r="J51" s="13" t="s">
        <v>228</v>
      </c>
      <c r="K51" s="27">
        <v>1</v>
      </c>
    </row>
    <row r="52" spans="1:11" ht="26" x14ac:dyDescent="0.35">
      <c r="A52" s="14" t="s">
        <v>218</v>
      </c>
      <c r="B52" s="159"/>
      <c r="C52" s="18" t="s">
        <v>155</v>
      </c>
      <c r="D52" s="7" t="s">
        <v>172</v>
      </c>
      <c r="E52" s="7" t="s">
        <v>156</v>
      </c>
      <c r="F52" s="7" t="s">
        <v>163</v>
      </c>
      <c r="G52" s="3" t="s">
        <v>166</v>
      </c>
      <c r="H52" s="161"/>
      <c r="I52" s="159" t="s">
        <v>231</v>
      </c>
      <c r="J52" s="13" t="s">
        <v>227</v>
      </c>
      <c r="K52" s="27">
        <v>1</v>
      </c>
    </row>
    <row r="53" spans="1:11" ht="26" x14ac:dyDescent="0.35">
      <c r="A53" s="14" t="s">
        <v>219</v>
      </c>
      <c r="B53" s="159"/>
      <c r="C53" s="18" t="s">
        <v>155</v>
      </c>
      <c r="D53" s="7" t="s">
        <v>176</v>
      </c>
      <c r="E53" s="7" t="s">
        <v>156</v>
      </c>
      <c r="F53" s="7" t="s">
        <v>158</v>
      </c>
      <c r="G53" s="3" t="s">
        <v>169</v>
      </c>
      <c r="H53" s="162"/>
      <c r="I53" s="159" t="s">
        <v>231</v>
      </c>
      <c r="J53" s="13" t="s">
        <v>228</v>
      </c>
      <c r="K53" s="27">
        <v>1</v>
      </c>
    </row>
    <row r="54" spans="1:11" ht="26" x14ac:dyDescent="0.35">
      <c r="A54" s="14" t="s">
        <v>216</v>
      </c>
      <c r="B54" s="159" t="s">
        <v>210</v>
      </c>
      <c r="C54" s="18" t="s">
        <v>155</v>
      </c>
      <c r="D54" s="7" t="s">
        <v>172</v>
      </c>
      <c r="E54" s="7" t="s">
        <v>156</v>
      </c>
      <c r="F54" s="7" t="s">
        <v>158</v>
      </c>
      <c r="G54" s="3" t="s">
        <v>159</v>
      </c>
      <c r="H54" s="160" t="s">
        <v>234</v>
      </c>
      <c r="I54" s="159" t="s">
        <v>235</v>
      </c>
      <c r="J54" s="13" t="s">
        <v>227</v>
      </c>
      <c r="K54" s="27">
        <v>1</v>
      </c>
    </row>
    <row r="55" spans="1:11" ht="26" x14ac:dyDescent="0.35">
      <c r="A55" s="14" t="s">
        <v>217</v>
      </c>
      <c r="B55" s="159"/>
      <c r="C55" s="18" t="s">
        <v>155</v>
      </c>
      <c r="D55" s="7" t="s">
        <v>176</v>
      </c>
      <c r="E55" s="7" t="s">
        <v>156</v>
      </c>
      <c r="F55" s="7" t="s">
        <v>163</v>
      </c>
      <c r="G55" s="3" t="s">
        <v>164</v>
      </c>
      <c r="H55" s="161"/>
      <c r="I55" s="159" t="s">
        <v>231</v>
      </c>
      <c r="J55" s="13" t="s">
        <v>228</v>
      </c>
      <c r="K55" s="27">
        <v>1</v>
      </c>
    </row>
    <row r="56" spans="1:11" ht="26" x14ac:dyDescent="0.35">
      <c r="A56" s="14" t="s">
        <v>218</v>
      </c>
      <c r="B56" s="159"/>
      <c r="C56" s="18" t="s">
        <v>155</v>
      </c>
      <c r="D56" s="7" t="s">
        <v>172</v>
      </c>
      <c r="E56" s="7" t="s">
        <v>156</v>
      </c>
      <c r="F56" s="7" t="s">
        <v>163</v>
      </c>
      <c r="G56" s="3" t="s">
        <v>166</v>
      </c>
      <c r="H56" s="161"/>
      <c r="I56" s="159" t="s">
        <v>231</v>
      </c>
      <c r="J56" s="13" t="s">
        <v>227</v>
      </c>
      <c r="K56" s="27">
        <v>1</v>
      </c>
    </row>
    <row r="57" spans="1:11" ht="26" x14ac:dyDescent="0.35">
      <c r="A57" s="14" t="s">
        <v>219</v>
      </c>
      <c r="B57" s="159"/>
      <c r="C57" s="18" t="s">
        <v>155</v>
      </c>
      <c r="D57" s="7" t="s">
        <v>176</v>
      </c>
      <c r="E57" s="7" t="s">
        <v>156</v>
      </c>
      <c r="F57" s="7" t="s">
        <v>158</v>
      </c>
      <c r="G57" s="3" t="s">
        <v>169</v>
      </c>
      <c r="H57" s="162"/>
      <c r="I57" s="159" t="s">
        <v>231</v>
      </c>
      <c r="J57" s="13" t="s">
        <v>228</v>
      </c>
      <c r="K57" s="27">
        <v>1</v>
      </c>
    </row>
    <row r="58" spans="1:11" ht="26" x14ac:dyDescent="0.35">
      <c r="A58" s="14" t="s">
        <v>216</v>
      </c>
      <c r="B58" s="159" t="s">
        <v>210</v>
      </c>
      <c r="C58" s="18" t="s">
        <v>155</v>
      </c>
      <c r="D58" s="7" t="s">
        <v>172</v>
      </c>
      <c r="E58" s="7" t="s">
        <v>156</v>
      </c>
      <c r="F58" s="7" t="s">
        <v>158</v>
      </c>
      <c r="G58" s="3" t="s">
        <v>159</v>
      </c>
      <c r="H58" s="160" t="s">
        <v>236</v>
      </c>
      <c r="I58" s="159" t="s">
        <v>237</v>
      </c>
      <c r="J58" s="13" t="s">
        <v>227</v>
      </c>
      <c r="K58" s="27">
        <v>1</v>
      </c>
    </row>
    <row r="59" spans="1:11" ht="26" x14ac:dyDescent="0.35">
      <c r="A59" s="14" t="s">
        <v>217</v>
      </c>
      <c r="B59" s="159"/>
      <c r="C59" s="18" t="s">
        <v>155</v>
      </c>
      <c r="D59" s="7" t="s">
        <v>176</v>
      </c>
      <c r="E59" s="7" t="s">
        <v>156</v>
      </c>
      <c r="F59" s="7" t="s">
        <v>163</v>
      </c>
      <c r="G59" s="3" t="s">
        <v>164</v>
      </c>
      <c r="H59" s="161"/>
      <c r="I59" s="159" t="s">
        <v>231</v>
      </c>
      <c r="J59" s="13" t="s">
        <v>228</v>
      </c>
      <c r="K59" s="27">
        <v>1</v>
      </c>
    </row>
    <row r="60" spans="1:11" ht="26" x14ac:dyDescent="0.35">
      <c r="A60" s="14" t="s">
        <v>218</v>
      </c>
      <c r="B60" s="159"/>
      <c r="C60" s="18" t="s">
        <v>155</v>
      </c>
      <c r="D60" s="7" t="s">
        <v>172</v>
      </c>
      <c r="E60" s="7" t="s">
        <v>156</v>
      </c>
      <c r="F60" s="7" t="s">
        <v>163</v>
      </c>
      <c r="G60" s="3" t="s">
        <v>166</v>
      </c>
      <c r="H60" s="161"/>
      <c r="I60" s="159" t="s">
        <v>231</v>
      </c>
      <c r="J60" s="13" t="s">
        <v>227</v>
      </c>
      <c r="K60" s="27">
        <v>1</v>
      </c>
    </row>
    <row r="61" spans="1:11" ht="26" x14ac:dyDescent="0.35">
      <c r="A61" s="14" t="s">
        <v>219</v>
      </c>
      <c r="B61" s="159"/>
      <c r="C61" s="18" t="s">
        <v>155</v>
      </c>
      <c r="D61" s="7" t="s">
        <v>176</v>
      </c>
      <c r="E61" s="7" t="s">
        <v>156</v>
      </c>
      <c r="F61" s="7" t="s">
        <v>158</v>
      </c>
      <c r="G61" s="3" t="s">
        <v>169</v>
      </c>
      <c r="H61" s="162"/>
      <c r="I61" s="159" t="s">
        <v>231</v>
      </c>
      <c r="J61" s="13" t="s">
        <v>228</v>
      </c>
      <c r="K61" s="27">
        <v>1</v>
      </c>
    </row>
    <row r="62" spans="1:11" ht="26" x14ac:dyDescent="0.35">
      <c r="A62" s="14" t="s">
        <v>216</v>
      </c>
      <c r="B62" s="159" t="s">
        <v>210</v>
      </c>
      <c r="C62" s="18" t="s">
        <v>155</v>
      </c>
      <c r="D62" s="7" t="s">
        <v>172</v>
      </c>
      <c r="E62" s="7" t="s">
        <v>156</v>
      </c>
      <c r="F62" s="7" t="s">
        <v>158</v>
      </c>
      <c r="G62" s="3" t="s">
        <v>159</v>
      </c>
      <c r="H62" s="160" t="s">
        <v>238</v>
      </c>
      <c r="I62" s="159" t="s">
        <v>239</v>
      </c>
      <c r="J62" s="13" t="s">
        <v>227</v>
      </c>
      <c r="K62" s="27">
        <v>1</v>
      </c>
    </row>
    <row r="63" spans="1:11" ht="26" x14ac:dyDescent="0.35">
      <c r="A63" s="14" t="s">
        <v>217</v>
      </c>
      <c r="B63" s="159"/>
      <c r="C63" s="18" t="s">
        <v>155</v>
      </c>
      <c r="D63" s="7" t="s">
        <v>176</v>
      </c>
      <c r="E63" s="7" t="s">
        <v>156</v>
      </c>
      <c r="F63" s="7" t="s">
        <v>163</v>
      </c>
      <c r="G63" s="3" t="s">
        <v>164</v>
      </c>
      <c r="H63" s="161"/>
      <c r="I63" s="159" t="s">
        <v>231</v>
      </c>
      <c r="J63" s="13" t="s">
        <v>228</v>
      </c>
      <c r="K63" s="27">
        <v>1</v>
      </c>
    </row>
    <row r="64" spans="1:11" ht="26" x14ac:dyDescent="0.35">
      <c r="A64" s="14" t="s">
        <v>218</v>
      </c>
      <c r="B64" s="159"/>
      <c r="C64" s="18" t="s">
        <v>155</v>
      </c>
      <c r="D64" s="7" t="s">
        <v>172</v>
      </c>
      <c r="E64" s="7" t="s">
        <v>156</v>
      </c>
      <c r="F64" s="7" t="s">
        <v>163</v>
      </c>
      <c r="G64" s="3" t="s">
        <v>166</v>
      </c>
      <c r="H64" s="161"/>
      <c r="I64" s="159" t="s">
        <v>231</v>
      </c>
      <c r="J64" s="13" t="s">
        <v>227</v>
      </c>
      <c r="K64" s="27">
        <v>1</v>
      </c>
    </row>
    <row r="65" spans="1:11" ht="26" x14ac:dyDescent="0.35">
      <c r="A65" s="14" t="s">
        <v>219</v>
      </c>
      <c r="B65" s="159"/>
      <c r="C65" s="18" t="s">
        <v>155</v>
      </c>
      <c r="D65" s="7" t="s">
        <v>176</v>
      </c>
      <c r="E65" s="7" t="s">
        <v>156</v>
      </c>
      <c r="F65" s="7" t="s">
        <v>158</v>
      </c>
      <c r="G65" s="3" t="s">
        <v>169</v>
      </c>
      <c r="H65" s="162"/>
      <c r="I65" s="159" t="s">
        <v>231</v>
      </c>
      <c r="J65" s="13" t="s">
        <v>228</v>
      </c>
      <c r="K65" s="27">
        <v>1</v>
      </c>
    </row>
    <row r="66" spans="1:11" ht="26.5" x14ac:dyDescent="0.35">
      <c r="A66" s="14" t="s">
        <v>216</v>
      </c>
      <c r="B66" s="159" t="s">
        <v>210</v>
      </c>
      <c r="C66" s="18" t="s">
        <v>155</v>
      </c>
      <c r="D66" s="7" t="s">
        <v>172</v>
      </c>
      <c r="E66" s="7" t="s">
        <v>156</v>
      </c>
      <c r="F66" s="7" t="s">
        <v>158</v>
      </c>
      <c r="G66" s="3" t="s">
        <v>159</v>
      </c>
      <c r="H66" s="160" t="s">
        <v>240</v>
      </c>
      <c r="I66" s="159" t="s">
        <v>241</v>
      </c>
      <c r="J66" s="13" t="s">
        <v>242</v>
      </c>
      <c r="K66" s="27">
        <v>2</v>
      </c>
    </row>
    <row r="67" spans="1:11" ht="26.5" x14ac:dyDescent="0.35">
      <c r="A67" s="14" t="s">
        <v>217</v>
      </c>
      <c r="B67" s="159"/>
      <c r="C67" s="18" t="s">
        <v>155</v>
      </c>
      <c r="D67" s="7" t="s">
        <v>176</v>
      </c>
      <c r="E67" s="7" t="s">
        <v>156</v>
      </c>
      <c r="F67" s="7" t="s">
        <v>163</v>
      </c>
      <c r="G67" s="3" t="s">
        <v>164</v>
      </c>
      <c r="H67" s="161"/>
      <c r="I67" s="159" t="s">
        <v>231</v>
      </c>
      <c r="J67" s="13" t="s">
        <v>243</v>
      </c>
      <c r="K67" s="27">
        <v>2</v>
      </c>
    </row>
    <row r="68" spans="1:11" ht="26.5" x14ac:dyDescent="0.35">
      <c r="A68" s="14" t="s">
        <v>218</v>
      </c>
      <c r="B68" s="159"/>
      <c r="C68" s="18" t="s">
        <v>155</v>
      </c>
      <c r="D68" s="7" t="s">
        <v>172</v>
      </c>
      <c r="E68" s="7" t="s">
        <v>156</v>
      </c>
      <c r="F68" s="7" t="s">
        <v>163</v>
      </c>
      <c r="G68" s="3" t="s">
        <v>166</v>
      </c>
      <c r="H68" s="161"/>
      <c r="I68" s="159" t="s">
        <v>231</v>
      </c>
      <c r="J68" s="13" t="s">
        <v>242</v>
      </c>
      <c r="K68" s="27">
        <v>2</v>
      </c>
    </row>
    <row r="69" spans="1:11" ht="26.5" x14ac:dyDescent="0.35">
      <c r="A69" s="14" t="s">
        <v>219</v>
      </c>
      <c r="B69" s="159"/>
      <c r="C69" s="18" t="s">
        <v>155</v>
      </c>
      <c r="D69" s="7" t="s">
        <v>176</v>
      </c>
      <c r="E69" s="7" t="s">
        <v>156</v>
      </c>
      <c r="F69" s="7" t="s">
        <v>158</v>
      </c>
      <c r="G69" s="3" t="s">
        <v>169</v>
      </c>
      <c r="H69" s="162"/>
      <c r="I69" s="159" t="s">
        <v>231</v>
      </c>
      <c r="J69" s="13" t="s">
        <v>243</v>
      </c>
      <c r="K69" s="27">
        <v>2</v>
      </c>
    </row>
    <row r="70" spans="1:11" ht="78.5" x14ac:dyDescent="0.35">
      <c r="A70" s="14" t="s">
        <v>216</v>
      </c>
      <c r="B70" s="159" t="s">
        <v>210</v>
      </c>
      <c r="C70" s="18" t="s">
        <v>155</v>
      </c>
      <c r="D70" s="7" t="s">
        <v>172</v>
      </c>
      <c r="E70" s="7" t="s">
        <v>156</v>
      </c>
      <c r="F70" s="7" t="s">
        <v>158</v>
      </c>
      <c r="G70" s="3" t="s">
        <v>159</v>
      </c>
      <c r="H70" s="160" t="s">
        <v>244</v>
      </c>
      <c r="I70" s="159" t="s">
        <v>245</v>
      </c>
      <c r="J70" s="13" t="s">
        <v>246</v>
      </c>
      <c r="K70" s="27">
        <v>6</v>
      </c>
    </row>
    <row r="71" spans="1:11" ht="52.5" x14ac:dyDescent="0.35">
      <c r="A71" s="14" t="s">
        <v>217</v>
      </c>
      <c r="B71" s="159"/>
      <c r="C71" s="18" t="s">
        <v>155</v>
      </c>
      <c r="D71" s="7" t="s">
        <v>176</v>
      </c>
      <c r="E71" s="7" t="s">
        <v>156</v>
      </c>
      <c r="F71" s="7" t="s">
        <v>163</v>
      </c>
      <c r="G71" s="3" t="s">
        <v>164</v>
      </c>
      <c r="H71" s="161"/>
      <c r="I71" s="159" t="s">
        <v>231</v>
      </c>
      <c r="J71" s="13" t="s">
        <v>247</v>
      </c>
      <c r="K71" s="27">
        <v>4</v>
      </c>
    </row>
    <row r="72" spans="1:11" ht="52.5" x14ac:dyDescent="0.35">
      <c r="A72" s="14" t="s">
        <v>218</v>
      </c>
      <c r="B72" s="159"/>
      <c r="C72" s="18" t="s">
        <v>155</v>
      </c>
      <c r="D72" s="7" t="s">
        <v>172</v>
      </c>
      <c r="E72" s="7" t="s">
        <v>156</v>
      </c>
      <c r="F72" s="7" t="s">
        <v>163</v>
      </c>
      <c r="G72" s="3" t="s">
        <v>166</v>
      </c>
      <c r="H72" s="161"/>
      <c r="I72" s="159" t="s">
        <v>231</v>
      </c>
      <c r="J72" s="13" t="s">
        <v>247</v>
      </c>
      <c r="K72" s="27">
        <v>4</v>
      </c>
    </row>
    <row r="73" spans="1:11" ht="78.5" x14ac:dyDescent="0.35">
      <c r="A73" s="14" t="s">
        <v>219</v>
      </c>
      <c r="B73" s="159"/>
      <c r="C73" s="18" t="s">
        <v>155</v>
      </c>
      <c r="D73" s="7" t="s">
        <v>176</v>
      </c>
      <c r="E73" s="7" t="s">
        <v>156</v>
      </c>
      <c r="F73" s="7" t="s">
        <v>158</v>
      </c>
      <c r="G73" s="3" t="s">
        <v>169</v>
      </c>
      <c r="H73" s="162"/>
      <c r="I73" s="159" t="s">
        <v>231</v>
      </c>
      <c r="J73" s="13" t="s">
        <v>246</v>
      </c>
      <c r="K73" s="27">
        <v>6</v>
      </c>
    </row>
    <row r="74" spans="1:11" ht="26" x14ac:dyDescent="0.35">
      <c r="A74" s="14" t="s">
        <v>216</v>
      </c>
      <c r="B74" s="159" t="s">
        <v>210</v>
      </c>
      <c r="C74" s="18" t="s">
        <v>155</v>
      </c>
      <c r="D74" s="7" t="s">
        <v>172</v>
      </c>
      <c r="E74" s="7" t="s">
        <v>156</v>
      </c>
      <c r="F74" s="7" t="s">
        <v>158</v>
      </c>
      <c r="G74" s="3" t="s">
        <v>159</v>
      </c>
      <c r="H74" s="160" t="s">
        <v>248</v>
      </c>
      <c r="I74" s="159" t="s">
        <v>249</v>
      </c>
      <c r="J74" s="14" t="s">
        <v>250</v>
      </c>
      <c r="K74" s="27">
        <v>1</v>
      </c>
    </row>
    <row r="75" spans="1:11" ht="26" x14ac:dyDescent="0.35">
      <c r="A75" s="14" t="s">
        <v>217</v>
      </c>
      <c r="B75" s="159"/>
      <c r="C75" s="18" t="s">
        <v>155</v>
      </c>
      <c r="D75" s="7" t="s">
        <v>176</v>
      </c>
      <c r="E75" s="7" t="s">
        <v>156</v>
      </c>
      <c r="F75" s="7" t="s">
        <v>163</v>
      </c>
      <c r="G75" s="3" t="s">
        <v>164</v>
      </c>
      <c r="H75" s="161"/>
      <c r="I75" s="159" t="s">
        <v>231</v>
      </c>
      <c r="J75" s="14" t="s">
        <v>251</v>
      </c>
      <c r="K75" s="27">
        <v>1</v>
      </c>
    </row>
    <row r="76" spans="1:11" ht="26" x14ac:dyDescent="0.35">
      <c r="A76" s="14" t="s">
        <v>218</v>
      </c>
      <c r="B76" s="159"/>
      <c r="C76" s="18" t="s">
        <v>155</v>
      </c>
      <c r="D76" s="7" t="s">
        <v>172</v>
      </c>
      <c r="E76" s="7" t="s">
        <v>156</v>
      </c>
      <c r="F76" s="7" t="s">
        <v>163</v>
      </c>
      <c r="G76" s="3" t="s">
        <v>166</v>
      </c>
      <c r="H76" s="161"/>
      <c r="I76" s="159" t="s">
        <v>231</v>
      </c>
      <c r="J76" s="14" t="s">
        <v>250</v>
      </c>
      <c r="K76" s="27">
        <v>1</v>
      </c>
    </row>
    <row r="77" spans="1:11" ht="26" x14ac:dyDescent="0.35">
      <c r="A77" s="14" t="s">
        <v>219</v>
      </c>
      <c r="B77" s="159"/>
      <c r="C77" s="18" t="s">
        <v>155</v>
      </c>
      <c r="D77" s="7" t="s">
        <v>176</v>
      </c>
      <c r="E77" s="7" t="s">
        <v>156</v>
      </c>
      <c r="F77" s="7" t="s">
        <v>158</v>
      </c>
      <c r="G77" s="3" t="s">
        <v>169</v>
      </c>
      <c r="H77" s="162"/>
      <c r="I77" s="159" t="s">
        <v>231</v>
      </c>
      <c r="J77" s="14" t="s">
        <v>251</v>
      </c>
      <c r="K77" s="27">
        <v>1</v>
      </c>
    </row>
    <row r="78" spans="1:11" ht="26" x14ac:dyDescent="0.35">
      <c r="A78" s="14" t="s">
        <v>216</v>
      </c>
      <c r="B78" s="159" t="s">
        <v>210</v>
      </c>
      <c r="C78" s="18" t="s">
        <v>155</v>
      </c>
      <c r="D78" s="7" t="s">
        <v>172</v>
      </c>
      <c r="E78" s="7" t="s">
        <v>156</v>
      </c>
      <c r="F78" s="7" t="s">
        <v>158</v>
      </c>
      <c r="G78" s="3" t="s">
        <v>159</v>
      </c>
      <c r="H78" s="160" t="s">
        <v>252</v>
      </c>
      <c r="I78" s="159" t="s">
        <v>253</v>
      </c>
      <c r="J78" s="14" t="s">
        <v>250</v>
      </c>
      <c r="K78" s="27">
        <v>1</v>
      </c>
    </row>
    <row r="79" spans="1:11" ht="26" x14ac:dyDescent="0.35">
      <c r="A79" s="14" t="s">
        <v>217</v>
      </c>
      <c r="B79" s="159"/>
      <c r="C79" s="18" t="s">
        <v>155</v>
      </c>
      <c r="D79" s="7" t="s">
        <v>176</v>
      </c>
      <c r="E79" s="7" t="s">
        <v>156</v>
      </c>
      <c r="F79" s="7" t="s">
        <v>163</v>
      </c>
      <c r="G79" s="3" t="s">
        <v>164</v>
      </c>
      <c r="H79" s="161"/>
      <c r="I79" s="159" t="s">
        <v>231</v>
      </c>
      <c r="J79" s="14" t="s">
        <v>251</v>
      </c>
      <c r="K79" s="27">
        <v>1</v>
      </c>
    </row>
    <row r="80" spans="1:11" ht="26" x14ac:dyDescent="0.35">
      <c r="A80" s="14" t="s">
        <v>218</v>
      </c>
      <c r="B80" s="159"/>
      <c r="C80" s="18" t="s">
        <v>155</v>
      </c>
      <c r="D80" s="7" t="s">
        <v>172</v>
      </c>
      <c r="E80" s="7" t="s">
        <v>156</v>
      </c>
      <c r="F80" s="7" t="s">
        <v>163</v>
      </c>
      <c r="G80" s="3" t="s">
        <v>166</v>
      </c>
      <c r="H80" s="161"/>
      <c r="I80" s="159" t="s">
        <v>231</v>
      </c>
      <c r="J80" s="14" t="s">
        <v>250</v>
      </c>
      <c r="K80" s="27">
        <v>1</v>
      </c>
    </row>
    <row r="81" spans="1:11" ht="26" x14ac:dyDescent="0.35">
      <c r="A81" s="14" t="s">
        <v>219</v>
      </c>
      <c r="B81" s="159"/>
      <c r="C81" s="18" t="s">
        <v>155</v>
      </c>
      <c r="D81" s="7" t="s">
        <v>176</v>
      </c>
      <c r="E81" s="7" t="s">
        <v>156</v>
      </c>
      <c r="F81" s="7" t="s">
        <v>158</v>
      </c>
      <c r="G81" s="3" t="s">
        <v>169</v>
      </c>
      <c r="H81" s="162"/>
      <c r="I81" s="159" t="s">
        <v>231</v>
      </c>
      <c r="J81" s="14" t="s">
        <v>251</v>
      </c>
      <c r="K81" s="27">
        <v>1</v>
      </c>
    </row>
    <row r="82" spans="1:11" s="44" customFormat="1" ht="130.5" hidden="1" x14ac:dyDescent="0.35">
      <c r="A82" s="32" t="s">
        <v>216</v>
      </c>
      <c r="B82" s="163" t="s">
        <v>210</v>
      </c>
      <c r="C82" s="40" t="s">
        <v>155</v>
      </c>
      <c r="D82" s="41" t="s">
        <v>172</v>
      </c>
      <c r="E82" s="41" t="s">
        <v>156</v>
      </c>
      <c r="F82" s="41" t="s">
        <v>158</v>
      </c>
      <c r="G82" s="33" t="s">
        <v>159</v>
      </c>
      <c r="H82" s="164" t="s">
        <v>254</v>
      </c>
      <c r="I82" s="163" t="s">
        <v>255</v>
      </c>
      <c r="J82" s="42" t="s">
        <v>256</v>
      </c>
      <c r="K82" s="43">
        <v>12</v>
      </c>
    </row>
    <row r="83" spans="1:11" s="44" customFormat="1" ht="130.5" hidden="1" x14ac:dyDescent="0.35">
      <c r="A83" s="32" t="s">
        <v>217</v>
      </c>
      <c r="B83" s="163"/>
      <c r="C83" s="40" t="s">
        <v>155</v>
      </c>
      <c r="D83" s="41" t="s">
        <v>176</v>
      </c>
      <c r="E83" s="41" t="s">
        <v>156</v>
      </c>
      <c r="F83" s="41" t="s">
        <v>163</v>
      </c>
      <c r="G83" s="33" t="s">
        <v>164</v>
      </c>
      <c r="H83" s="165"/>
      <c r="I83" s="163" t="s">
        <v>231</v>
      </c>
      <c r="J83" s="42" t="s">
        <v>257</v>
      </c>
      <c r="K83" s="43">
        <v>12</v>
      </c>
    </row>
    <row r="84" spans="1:11" s="44" customFormat="1" ht="130.5" hidden="1" x14ac:dyDescent="0.35">
      <c r="A84" s="32" t="s">
        <v>218</v>
      </c>
      <c r="B84" s="163"/>
      <c r="C84" s="40" t="s">
        <v>155</v>
      </c>
      <c r="D84" s="41" t="s">
        <v>172</v>
      </c>
      <c r="E84" s="41" t="s">
        <v>156</v>
      </c>
      <c r="F84" s="41" t="s">
        <v>163</v>
      </c>
      <c r="G84" s="33" t="s">
        <v>166</v>
      </c>
      <c r="H84" s="165"/>
      <c r="I84" s="163" t="s">
        <v>231</v>
      </c>
      <c r="J84" s="42" t="s">
        <v>257</v>
      </c>
      <c r="K84" s="43">
        <v>12</v>
      </c>
    </row>
    <row r="85" spans="1:11" s="44" customFormat="1" ht="130.5" hidden="1" x14ac:dyDescent="0.35">
      <c r="A85" s="32" t="s">
        <v>219</v>
      </c>
      <c r="B85" s="163"/>
      <c r="C85" s="40" t="s">
        <v>155</v>
      </c>
      <c r="D85" s="41" t="s">
        <v>176</v>
      </c>
      <c r="E85" s="41" t="s">
        <v>156</v>
      </c>
      <c r="F85" s="41" t="s">
        <v>158</v>
      </c>
      <c r="G85" s="33" t="s">
        <v>169</v>
      </c>
      <c r="H85" s="166"/>
      <c r="I85" s="163" t="s">
        <v>231</v>
      </c>
      <c r="J85" s="42" t="s">
        <v>257</v>
      </c>
      <c r="K85" s="43">
        <v>12</v>
      </c>
    </row>
    <row r="86" spans="1:11" ht="101.25" customHeight="1" x14ac:dyDescent="0.35">
      <c r="A86" s="14" t="s">
        <v>216</v>
      </c>
      <c r="B86" s="159" t="s">
        <v>210</v>
      </c>
      <c r="C86" s="18" t="s">
        <v>155</v>
      </c>
      <c r="D86" s="7" t="s">
        <v>172</v>
      </c>
      <c r="E86" s="7" t="s">
        <v>156</v>
      </c>
      <c r="F86" s="7" t="s">
        <v>158</v>
      </c>
      <c r="G86" s="3" t="s">
        <v>159</v>
      </c>
      <c r="H86" s="160" t="s">
        <v>258</v>
      </c>
      <c r="I86" s="159" t="s">
        <v>259</v>
      </c>
      <c r="J86" s="13" t="s">
        <v>260</v>
      </c>
      <c r="K86" s="35">
        <v>4</v>
      </c>
    </row>
    <row r="87" spans="1:11" ht="96.75" customHeight="1" x14ac:dyDescent="0.35">
      <c r="A87" s="14" t="s">
        <v>217</v>
      </c>
      <c r="B87" s="159"/>
      <c r="C87" s="18" t="s">
        <v>155</v>
      </c>
      <c r="D87" s="7" t="s">
        <v>176</v>
      </c>
      <c r="E87" s="7" t="s">
        <v>156</v>
      </c>
      <c r="F87" s="7" t="s">
        <v>163</v>
      </c>
      <c r="G87" s="3" t="s">
        <v>164</v>
      </c>
      <c r="H87" s="161"/>
      <c r="I87" s="159" t="s">
        <v>231</v>
      </c>
      <c r="J87" s="13" t="s">
        <v>261</v>
      </c>
      <c r="K87" s="35">
        <v>4</v>
      </c>
    </row>
    <row r="88" spans="1:11" ht="85.5" customHeight="1" x14ac:dyDescent="0.35">
      <c r="A88" s="14" t="s">
        <v>218</v>
      </c>
      <c r="B88" s="159"/>
      <c r="C88" s="18" t="s">
        <v>155</v>
      </c>
      <c r="D88" s="7" t="s">
        <v>172</v>
      </c>
      <c r="E88" s="7" t="s">
        <v>156</v>
      </c>
      <c r="F88" s="7" t="s">
        <v>163</v>
      </c>
      <c r="G88" s="3" t="s">
        <v>166</v>
      </c>
      <c r="H88" s="161"/>
      <c r="I88" s="159" t="s">
        <v>231</v>
      </c>
      <c r="J88" s="13" t="s">
        <v>261</v>
      </c>
      <c r="K88" s="35">
        <v>4</v>
      </c>
    </row>
    <row r="89" spans="1:11" ht="91.5" x14ac:dyDescent="0.35">
      <c r="A89" s="14" t="s">
        <v>219</v>
      </c>
      <c r="B89" s="159"/>
      <c r="C89" s="18" t="s">
        <v>155</v>
      </c>
      <c r="D89" s="7" t="s">
        <v>176</v>
      </c>
      <c r="E89" s="7" t="s">
        <v>156</v>
      </c>
      <c r="F89" s="7" t="s">
        <v>158</v>
      </c>
      <c r="G89" s="3" t="s">
        <v>169</v>
      </c>
      <c r="H89" s="162"/>
      <c r="I89" s="159" t="s">
        <v>231</v>
      </c>
      <c r="J89" s="13" t="s">
        <v>262</v>
      </c>
      <c r="K89" s="35">
        <v>4</v>
      </c>
    </row>
    <row r="90" spans="1:11" ht="26.5" x14ac:dyDescent="0.35">
      <c r="A90" s="14" t="s">
        <v>216</v>
      </c>
      <c r="B90" s="159" t="s">
        <v>210</v>
      </c>
      <c r="C90" s="18" t="s">
        <v>155</v>
      </c>
      <c r="D90" s="7" t="s">
        <v>172</v>
      </c>
      <c r="E90" s="7" t="s">
        <v>156</v>
      </c>
      <c r="F90" s="7" t="s">
        <v>158</v>
      </c>
      <c r="G90" s="3" t="s">
        <v>159</v>
      </c>
      <c r="H90" s="160" t="s">
        <v>263</v>
      </c>
      <c r="I90" s="159" t="s">
        <v>264</v>
      </c>
      <c r="J90" s="13" t="s">
        <v>265</v>
      </c>
      <c r="K90" s="27">
        <v>1</v>
      </c>
    </row>
    <row r="91" spans="1:11" ht="26.5" x14ac:dyDescent="0.35">
      <c r="A91" s="14" t="s">
        <v>217</v>
      </c>
      <c r="B91" s="159"/>
      <c r="C91" s="18" t="s">
        <v>155</v>
      </c>
      <c r="D91" s="7" t="s">
        <v>176</v>
      </c>
      <c r="E91" s="7" t="s">
        <v>156</v>
      </c>
      <c r="F91" s="7" t="s">
        <v>163</v>
      </c>
      <c r="G91" s="3" t="s">
        <v>164</v>
      </c>
      <c r="H91" s="161"/>
      <c r="I91" s="159" t="s">
        <v>231</v>
      </c>
      <c r="J91" s="13" t="s">
        <v>266</v>
      </c>
      <c r="K91" s="27">
        <v>1</v>
      </c>
    </row>
    <row r="92" spans="1:11" ht="26.5" x14ac:dyDescent="0.35">
      <c r="A92" s="14" t="s">
        <v>218</v>
      </c>
      <c r="B92" s="159"/>
      <c r="C92" s="18" t="s">
        <v>155</v>
      </c>
      <c r="D92" s="7" t="s">
        <v>172</v>
      </c>
      <c r="E92" s="7" t="s">
        <v>156</v>
      </c>
      <c r="F92" s="7" t="s">
        <v>163</v>
      </c>
      <c r="G92" s="3" t="s">
        <v>166</v>
      </c>
      <c r="H92" s="161"/>
      <c r="I92" s="159" t="s">
        <v>231</v>
      </c>
      <c r="J92" s="13" t="s">
        <v>266</v>
      </c>
      <c r="K92" s="27">
        <v>1</v>
      </c>
    </row>
    <row r="93" spans="1:11" ht="26.5" x14ac:dyDescent="0.35">
      <c r="A93" s="14" t="s">
        <v>219</v>
      </c>
      <c r="B93" s="159"/>
      <c r="C93" s="18" t="s">
        <v>155</v>
      </c>
      <c r="D93" s="7" t="s">
        <v>176</v>
      </c>
      <c r="E93" s="7" t="s">
        <v>156</v>
      </c>
      <c r="F93" s="7" t="s">
        <v>158</v>
      </c>
      <c r="G93" s="3" t="s">
        <v>169</v>
      </c>
      <c r="H93" s="162"/>
      <c r="I93" s="159" t="s">
        <v>231</v>
      </c>
      <c r="J93" s="13" t="s">
        <v>265</v>
      </c>
      <c r="K93" s="27">
        <v>1</v>
      </c>
    </row>
    <row r="94" spans="1:11" s="44" customFormat="1" ht="117" hidden="1" x14ac:dyDescent="0.35">
      <c r="A94" s="32" t="s">
        <v>216</v>
      </c>
      <c r="B94" s="163" t="s">
        <v>210</v>
      </c>
      <c r="C94" s="40" t="s">
        <v>155</v>
      </c>
      <c r="D94" s="41" t="s">
        <v>172</v>
      </c>
      <c r="E94" s="41" t="s">
        <v>156</v>
      </c>
      <c r="F94" s="41" t="s">
        <v>158</v>
      </c>
      <c r="G94" s="33" t="s">
        <v>159</v>
      </c>
      <c r="H94" s="164" t="s">
        <v>263</v>
      </c>
      <c r="I94" s="163" t="s">
        <v>267</v>
      </c>
      <c r="J94" s="32" t="s">
        <v>268</v>
      </c>
      <c r="K94" s="45">
        <v>12</v>
      </c>
    </row>
    <row r="95" spans="1:11" s="44" customFormat="1" ht="117.5" hidden="1" x14ac:dyDescent="0.35">
      <c r="A95" s="32" t="s">
        <v>217</v>
      </c>
      <c r="B95" s="163"/>
      <c r="C95" s="40" t="s">
        <v>155</v>
      </c>
      <c r="D95" s="41" t="s">
        <v>176</v>
      </c>
      <c r="E95" s="41" t="s">
        <v>156</v>
      </c>
      <c r="F95" s="41" t="s">
        <v>163</v>
      </c>
      <c r="G95" s="33" t="s">
        <v>164</v>
      </c>
      <c r="H95" s="165"/>
      <c r="I95" s="163" t="s">
        <v>231</v>
      </c>
      <c r="J95" s="42" t="s">
        <v>268</v>
      </c>
      <c r="K95" s="45">
        <v>12</v>
      </c>
    </row>
    <row r="96" spans="1:11" s="44" customFormat="1" ht="117.5" hidden="1" x14ac:dyDescent="0.35">
      <c r="A96" s="32" t="s">
        <v>218</v>
      </c>
      <c r="B96" s="163"/>
      <c r="C96" s="40" t="s">
        <v>155</v>
      </c>
      <c r="D96" s="41" t="s">
        <v>172</v>
      </c>
      <c r="E96" s="41" t="s">
        <v>156</v>
      </c>
      <c r="F96" s="41" t="s">
        <v>163</v>
      </c>
      <c r="G96" s="33" t="s">
        <v>166</v>
      </c>
      <c r="H96" s="165"/>
      <c r="I96" s="163" t="s">
        <v>231</v>
      </c>
      <c r="J96" s="42" t="s">
        <v>268</v>
      </c>
      <c r="K96" s="45">
        <v>12</v>
      </c>
    </row>
    <row r="97" spans="1:11" s="44" customFormat="1" ht="117.5" hidden="1" x14ac:dyDescent="0.35">
      <c r="A97" s="32" t="s">
        <v>219</v>
      </c>
      <c r="B97" s="163"/>
      <c r="C97" s="40" t="s">
        <v>155</v>
      </c>
      <c r="D97" s="41" t="s">
        <v>176</v>
      </c>
      <c r="E97" s="41" t="s">
        <v>156</v>
      </c>
      <c r="F97" s="41" t="s">
        <v>158</v>
      </c>
      <c r="G97" s="33" t="s">
        <v>169</v>
      </c>
      <c r="H97" s="166"/>
      <c r="I97" s="163" t="s">
        <v>231</v>
      </c>
      <c r="J97" s="42" t="s">
        <v>268</v>
      </c>
      <c r="K97" s="45">
        <v>12</v>
      </c>
    </row>
    <row r="98" spans="1:11" ht="60.75" customHeight="1" x14ac:dyDescent="0.35">
      <c r="A98" s="14" t="s">
        <v>216</v>
      </c>
      <c r="B98" s="159" t="s">
        <v>210</v>
      </c>
      <c r="C98" s="18" t="s">
        <v>155</v>
      </c>
      <c r="D98" s="7" t="s">
        <v>172</v>
      </c>
      <c r="E98" s="7" t="s">
        <v>156</v>
      </c>
      <c r="F98" s="7" t="s">
        <v>158</v>
      </c>
      <c r="G98" s="3" t="s">
        <v>159</v>
      </c>
      <c r="H98" s="160" t="s">
        <v>269</v>
      </c>
      <c r="I98" s="159" t="s">
        <v>270</v>
      </c>
      <c r="J98" s="13" t="s">
        <v>271</v>
      </c>
      <c r="K98" s="27">
        <v>2</v>
      </c>
    </row>
    <row r="99" spans="1:11" ht="63" customHeight="1" x14ac:dyDescent="0.35">
      <c r="A99" s="14" t="s">
        <v>217</v>
      </c>
      <c r="B99" s="159"/>
      <c r="C99" s="18" t="s">
        <v>155</v>
      </c>
      <c r="D99" s="7" t="s">
        <v>176</v>
      </c>
      <c r="E99" s="7" t="s">
        <v>156</v>
      </c>
      <c r="F99" s="7" t="s">
        <v>163</v>
      </c>
      <c r="G99" s="3" t="s">
        <v>164</v>
      </c>
      <c r="H99" s="161"/>
      <c r="I99" s="159"/>
      <c r="J99" s="13" t="s">
        <v>272</v>
      </c>
      <c r="K99" s="27">
        <v>2</v>
      </c>
    </row>
    <row r="100" spans="1:11" ht="63" customHeight="1" x14ac:dyDescent="0.35">
      <c r="A100" s="14" t="s">
        <v>218</v>
      </c>
      <c r="B100" s="159"/>
      <c r="C100" s="18" t="s">
        <v>155</v>
      </c>
      <c r="D100" s="7" t="s">
        <v>172</v>
      </c>
      <c r="E100" s="7" t="s">
        <v>156</v>
      </c>
      <c r="F100" s="7" t="s">
        <v>163</v>
      </c>
      <c r="G100" s="3" t="s">
        <v>166</v>
      </c>
      <c r="H100" s="161"/>
      <c r="I100" s="159"/>
      <c r="J100" s="13" t="s">
        <v>272</v>
      </c>
      <c r="K100" s="27">
        <v>2</v>
      </c>
    </row>
    <row r="101" spans="1:11" ht="63" customHeight="1" x14ac:dyDescent="0.35">
      <c r="A101" s="14" t="s">
        <v>219</v>
      </c>
      <c r="B101" s="159"/>
      <c r="C101" s="18" t="s">
        <v>155</v>
      </c>
      <c r="D101" s="7" t="s">
        <v>176</v>
      </c>
      <c r="E101" s="7" t="s">
        <v>156</v>
      </c>
      <c r="F101" s="7" t="s">
        <v>158</v>
      </c>
      <c r="G101" s="3" t="s">
        <v>169</v>
      </c>
      <c r="H101" s="162"/>
      <c r="I101" s="159"/>
      <c r="J101" s="13" t="s">
        <v>271</v>
      </c>
      <c r="K101" s="27">
        <v>2</v>
      </c>
    </row>
    <row r="102" spans="1:11" ht="65.25" customHeight="1" x14ac:dyDescent="0.35">
      <c r="A102" s="14" t="s">
        <v>216</v>
      </c>
      <c r="B102" s="159" t="s">
        <v>210</v>
      </c>
      <c r="C102" s="18" t="s">
        <v>155</v>
      </c>
      <c r="D102" s="7" t="s">
        <v>172</v>
      </c>
      <c r="E102" s="7" t="s">
        <v>156</v>
      </c>
      <c r="F102" s="7" t="s">
        <v>158</v>
      </c>
      <c r="G102" s="3" t="s">
        <v>159</v>
      </c>
      <c r="H102" s="160" t="s">
        <v>273</v>
      </c>
      <c r="I102" s="159" t="s">
        <v>270</v>
      </c>
      <c r="J102" s="14" t="s">
        <v>274</v>
      </c>
      <c r="K102" s="35">
        <v>1</v>
      </c>
    </row>
    <row r="103" spans="1:11" ht="51" customHeight="1" x14ac:dyDescent="0.35">
      <c r="A103" s="14" t="s">
        <v>217</v>
      </c>
      <c r="B103" s="159"/>
      <c r="C103" s="18" t="s">
        <v>155</v>
      </c>
      <c r="D103" s="7" t="s">
        <v>176</v>
      </c>
      <c r="E103" s="7" t="s">
        <v>156</v>
      </c>
      <c r="F103" s="7" t="s">
        <v>163</v>
      </c>
      <c r="G103" s="3" t="s">
        <v>164</v>
      </c>
      <c r="H103" s="161"/>
      <c r="I103" s="159" t="s">
        <v>270</v>
      </c>
      <c r="J103" s="14" t="s">
        <v>275</v>
      </c>
      <c r="K103" s="35">
        <v>1</v>
      </c>
    </row>
    <row r="104" spans="1:11" ht="51.75" customHeight="1" x14ac:dyDescent="0.35">
      <c r="A104" s="14" t="s">
        <v>218</v>
      </c>
      <c r="B104" s="159"/>
      <c r="C104" s="18" t="s">
        <v>155</v>
      </c>
      <c r="D104" s="7" t="s">
        <v>172</v>
      </c>
      <c r="E104" s="7" t="s">
        <v>156</v>
      </c>
      <c r="F104" s="7" t="s">
        <v>163</v>
      </c>
      <c r="G104" s="3" t="s">
        <v>166</v>
      </c>
      <c r="H104" s="161"/>
      <c r="I104" s="159" t="s">
        <v>270</v>
      </c>
      <c r="J104" s="14" t="s">
        <v>275</v>
      </c>
      <c r="K104" s="35">
        <v>1</v>
      </c>
    </row>
    <row r="105" spans="1:11" ht="44.25" customHeight="1" x14ac:dyDescent="0.35">
      <c r="A105" s="14" t="s">
        <v>219</v>
      </c>
      <c r="B105" s="159"/>
      <c r="C105" s="18" t="s">
        <v>155</v>
      </c>
      <c r="D105" s="7" t="s">
        <v>176</v>
      </c>
      <c r="E105" s="7" t="s">
        <v>156</v>
      </c>
      <c r="F105" s="7" t="s">
        <v>158</v>
      </c>
      <c r="G105" s="3" t="s">
        <v>169</v>
      </c>
      <c r="H105" s="162"/>
      <c r="I105" s="159" t="s">
        <v>270</v>
      </c>
      <c r="J105" s="14" t="s">
        <v>274</v>
      </c>
      <c r="K105" s="35">
        <v>1</v>
      </c>
    </row>
    <row r="106" spans="1:11" ht="38.25" customHeight="1" x14ac:dyDescent="0.35">
      <c r="A106" s="14" t="s">
        <v>216</v>
      </c>
      <c r="B106" s="159" t="s">
        <v>210</v>
      </c>
      <c r="C106" s="18" t="s">
        <v>155</v>
      </c>
      <c r="D106" s="7" t="s">
        <v>172</v>
      </c>
      <c r="E106" s="7" t="s">
        <v>156</v>
      </c>
      <c r="F106" s="7" t="s">
        <v>158</v>
      </c>
      <c r="G106" s="3" t="s">
        <v>159</v>
      </c>
      <c r="H106" s="160" t="s">
        <v>276</v>
      </c>
      <c r="I106" s="159" t="s">
        <v>270</v>
      </c>
      <c r="J106" s="13" t="s">
        <v>277</v>
      </c>
      <c r="K106" s="35">
        <v>1</v>
      </c>
    </row>
    <row r="107" spans="1:11" ht="65.5" x14ac:dyDescent="0.35">
      <c r="A107" s="14" t="s">
        <v>217</v>
      </c>
      <c r="B107" s="159"/>
      <c r="C107" s="18" t="s">
        <v>155</v>
      </c>
      <c r="D107" s="7" t="s">
        <v>176</v>
      </c>
      <c r="E107" s="7" t="s">
        <v>156</v>
      </c>
      <c r="F107" s="7" t="s">
        <v>163</v>
      </c>
      <c r="G107" s="3" t="s">
        <v>164</v>
      </c>
      <c r="H107" s="161"/>
      <c r="I107" s="159" t="s">
        <v>270</v>
      </c>
      <c r="J107" s="13" t="s">
        <v>278</v>
      </c>
      <c r="K107" s="35">
        <v>1</v>
      </c>
    </row>
    <row r="108" spans="1:11" ht="65.5" x14ac:dyDescent="0.35">
      <c r="A108" s="14" t="s">
        <v>218</v>
      </c>
      <c r="B108" s="159"/>
      <c r="C108" s="18" t="s">
        <v>155</v>
      </c>
      <c r="D108" s="7" t="s">
        <v>172</v>
      </c>
      <c r="E108" s="7" t="s">
        <v>156</v>
      </c>
      <c r="F108" s="7" t="s">
        <v>163</v>
      </c>
      <c r="G108" s="3" t="s">
        <v>166</v>
      </c>
      <c r="H108" s="161"/>
      <c r="I108" s="159" t="s">
        <v>270</v>
      </c>
      <c r="J108" s="13" t="s">
        <v>278</v>
      </c>
      <c r="K108" s="35">
        <v>1</v>
      </c>
    </row>
    <row r="109" spans="1:11" ht="78.5" x14ac:dyDescent="0.35">
      <c r="A109" s="14" t="s">
        <v>219</v>
      </c>
      <c r="B109" s="159"/>
      <c r="C109" s="18" t="s">
        <v>155</v>
      </c>
      <c r="D109" s="7" t="s">
        <v>176</v>
      </c>
      <c r="E109" s="7" t="s">
        <v>156</v>
      </c>
      <c r="F109" s="7" t="s">
        <v>158</v>
      </c>
      <c r="G109" s="3" t="s">
        <v>169</v>
      </c>
      <c r="H109" s="162"/>
      <c r="I109" s="159" t="s">
        <v>270</v>
      </c>
      <c r="J109" s="13" t="s">
        <v>277</v>
      </c>
      <c r="K109" s="35">
        <v>1</v>
      </c>
    </row>
    <row r="110" spans="1:11" ht="26" x14ac:dyDescent="0.35">
      <c r="A110" s="14" t="s">
        <v>216</v>
      </c>
      <c r="B110" s="159" t="s">
        <v>210</v>
      </c>
      <c r="C110" s="18" t="s">
        <v>155</v>
      </c>
      <c r="D110" s="7" t="s">
        <v>172</v>
      </c>
      <c r="E110" s="7" t="s">
        <v>156</v>
      </c>
      <c r="F110" s="7" t="s">
        <v>158</v>
      </c>
      <c r="G110" s="3" t="s">
        <v>159</v>
      </c>
      <c r="H110" s="160" t="s">
        <v>279</v>
      </c>
      <c r="I110" s="159" t="s">
        <v>280</v>
      </c>
      <c r="J110" s="13" t="s">
        <v>281</v>
      </c>
      <c r="K110" s="27">
        <v>1</v>
      </c>
    </row>
    <row r="111" spans="1:11" ht="26" x14ac:dyDescent="0.35">
      <c r="A111" s="14" t="s">
        <v>217</v>
      </c>
      <c r="B111" s="159"/>
      <c r="C111" s="18" t="s">
        <v>155</v>
      </c>
      <c r="D111" s="7" t="s">
        <v>176</v>
      </c>
      <c r="E111" s="7" t="s">
        <v>156</v>
      </c>
      <c r="F111" s="7" t="s">
        <v>163</v>
      </c>
      <c r="G111" s="3" t="s">
        <v>164</v>
      </c>
      <c r="H111" s="161"/>
      <c r="I111" s="159"/>
      <c r="J111" s="13" t="s">
        <v>282</v>
      </c>
      <c r="K111" s="27">
        <v>1</v>
      </c>
    </row>
    <row r="112" spans="1:11" ht="26" x14ac:dyDescent="0.35">
      <c r="A112" s="14" t="s">
        <v>218</v>
      </c>
      <c r="B112" s="159"/>
      <c r="C112" s="18" t="s">
        <v>155</v>
      </c>
      <c r="D112" s="7" t="s">
        <v>172</v>
      </c>
      <c r="E112" s="7" t="s">
        <v>156</v>
      </c>
      <c r="F112" s="7" t="s">
        <v>163</v>
      </c>
      <c r="G112" s="3" t="s">
        <v>166</v>
      </c>
      <c r="H112" s="161"/>
      <c r="I112" s="159"/>
      <c r="J112" s="13" t="s">
        <v>281</v>
      </c>
      <c r="K112" s="27">
        <v>1</v>
      </c>
    </row>
    <row r="113" spans="1:11" ht="26" x14ac:dyDescent="0.35">
      <c r="A113" s="14" t="s">
        <v>219</v>
      </c>
      <c r="B113" s="159"/>
      <c r="C113" s="18" t="s">
        <v>155</v>
      </c>
      <c r="D113" s="7" t="s">
        <v>176</v>
      </c>
      <c r="E113" s="7" t="s">
        <v>156</v>
      </c>
      <c r="F113" s="7" t="s">
        <v>158</v>
      </c>
      <c r="G113" s="3" t="s">
        <v>169</v>
      </c>
      <c r="H113" s="162"/>
      <c r="I113" s="159"/>
      <c r="J113" s="13" t="s">
        <v>282</v>
      </c>
      <c r="K113" s="27">
        <v>1</v>
      </c>
    </row>
    <row r="114" spans="1:11" ht="26" x14ac:dyDescent="0.35">
      <c r="A114" s="14" t="s">
        <v>216</v>
      </c>
      <c r="B114" s="159" t="s">
        <v>210</v>
      </c>
      <c r="C114" s="18" t="s">
        <v>155</v>
      </c>
      <c r="D114" s="7" t="s">
        <v>172</v>
      </c>
      <c r="E114" s="7" t="s">
        <v>156</v>
      </c>
      <c r="F114" s="7" t="s">
        <v>158</v>
      </c>
      <c r="G114" s="3" t="s">
        <v>159</v>
      </c>
      <c r="H114" s="160" t="s">
        <v>283</v>
      </c>
      <c r="I114" s="159" t="s">
        <v>284</v>
      </c>
      <c r="J114" s="13" t="s">
        <v>157</v>
      </c>
      <c r="K114" s="27">
        <v>5</v>
      </c>
    </row>
    <row r="115" spans="1:11" ht="26" x14ac:dyDescent="0.35">
      <c r="A115" s="14" t="s">
        <v>217</v>
      </c>
      <c r="B115" s="159"/>
      <c r="C115" s="18" t="s">
        <v>155</v>
      </c>
      <c r="D115" s="7" t="s">
        <v>176</v>
      </c>
      <c r="E115" s="7" t="s">
        <v>156</v>
      </c>
      <c r="F115" s="7" t="s">
        <v>163</v>
      </c>
      <c r="G115" s="3" t="s">
        <v>164</v>
      </c>
      <c r="H115" s="161"/>
      <c r="I115" s="159"/>
      <c r="J115" s="13" t="s">
        <v>168</v>
      </c>
      <c r="K115" s="27">
        <v>5</v>
      </c>
    </row>
    <row r="116" spans="1:11" ht="26" x14ac:dyDescent="0.35">
      <c r="A116" s="14" t="s">
        <v>218</v>
      </c>
      <c r="B116" s="159"/>
      <c r="C116" s="18" t="s">
        <v>155</v>
      </c>
      <c r="D116" s="7" t="s">
        <v>172</v>
      </c>
      <c r="E116" s="7" t="s">
        <v>156</v>
      </c>
      <c r="F116" s="7" t="s">
        <v>163</v>
      </c>
      <c r="G116" s="3" t="s">
        <v>166</v>
      </c>
      <c r="H116" s="161"/>
      <c r="I116" s="159"/>
      <c r="J116" s="13" t="s">
        <v>157</v>
      </c>
      <c r="K116" s="27">
        <v>5</v>
      </c>
    </row>
    <row r="117" spans="1:11" ht="26" x14ac:dyDescent="0.35">
      <c r="A117" s="14" t="s">
        <v>219</v>
      </c>
      <c r="B117" s="159"/>
      <c r="C117" s="18" t="s">
        <v>155</v>
      </c>
      <c r="D117" s="7" t="s">
        <v>176</v>
      </c>
      <c r="E117" s="7" t="s">
        <v>156</v>
      </c>
      <c r="F117" s="7" t="s">
        <v>158</v>
      </c>
      <c r="G117" s="3" t="s">
        <v>169</v>
      </c>
      <c r="H117" s="162"/>
      <c r="I117" s="159"/>
      <c r="J117" s="13" t="s">
        <v>168</v>
      </c>
      <c r="K117" s="27">
        <v>5</v>
      </c>
    </row>
    <row r="118" spans="1:11" ht="26" x14ac:dyDescent="0.35">
      <c r="A118" s="14" t="s">
        <v>216</v>
      </c>
      <c r="B118" s="159" t="s">
        <v>210</v>
      </c>
      <c r="C118" s="18" t="s">
        <v>155</v>
      </c>
      <c r="D118" s="7" t="s">
        <v>172</v>
      </c>
      <c r="E118" s="7" t="s">
        <v>156</v>
      </c>
      <c r="F118" s="7" t="s">
        <v>158</v>
      </c>
      <c r="G118" s="3" t="s">
        <v>159</v>
      </c>
      <c r="H118" s="160" t="s">
        <v>285</v>
      </c>
      <c r="I118" s="159" t="s">
        <v>259</v>
      </c>
      <c r="J118" s="13" t="s">
        <v>281</v>
      </c>
      <c r="K118" s="27">
        <v>1</v>
      </c>
    </row>
    <row r="119" spans="1:11" ht="26" x14ac:dyDescent="0.35">
      <c r="A119" s="14" t="s">
        <v>217</v>
      </c>
      <c r="B119" s="159"/>
      <c r="C119" s="18" t="s">
        <v>155</v>
      </c>
      <c r="D119" s="7" t="s">
        <v>176</v>
      </c>
      <c r="E119" s="7" t="s">
        <v>156</v>
      </c>
      <c r="F119" s="7" t="s">
        <v>163</v>
      </c>
      <c r="G119" s="3" t="s">
        <v>164</v>
      </c>
      <c r="H119" s="161"/>
      <c r="I119" s="159"/>
      <c r="J119" s="13" t="s">
        <v>282</v>
      </c>
      <c r="K119" s="27">
        <v>1</v>
      </c>
    </row>
    <row r="120" spans="1:11" ht="26" x14ac:dyDescent="0.35">
      <c r="A120" s="14" t="s">
        <v>218</v>
      </c>
      <c r="B120" s="159"/>
      <c r="C120" s="18" t="s">
        <v>155</v>
      </c>
      <c r="D120" s="7" t="s">
        <v>172</v>
      </c>
      <c r="E120" s="7" t="s">
        <v>156</v>
      </c>
      <c r="F120" s="7" t="s">
        <v>163</v>
      </c>
      <c r="G120" s="3" t="s">
        <v>166</v>
      </c>
      <c r="H120" s="161"/>
      <c r="I120" s="159"/>
      <c r="J120" s="13" t="s">
        <v>281</v>
      </c>
      <c r="K120" s="27">
        <v>1</v>
      </c>
    </row>
    <row r="121" spans="1:11" ht="26" x14ac:dyDescent="0.35">
      <c r="A121" s="14" t="s">
        <v>219</v>
      </c>
      <c r="B121" s="159"/>
      <c r="C121" s="18" t="s">
        <v>155</v>
      </c>
      <c r="D121" s="7" t="s">
        <v>176</v>
      </c>
      <c r="E121" s="7" t="s">
        <v>156</v>
      </c>
      <c r="F121" s="7" t="s">
        <v>158</v>
      </c>
      <c r="G121" s="3" t="s">
        <v>169</v>
      </c>
      <c r="H121" s="162"/>
      <c r="I121" s="159"/>
      <c r="J121" s="13" t="s">
        <v>282</v>
      </c>
      <c r="K121" s="27">
        <v>1</v>
      </c>
    </row>
    <row r="122" spans="1:11" ht="26" x14ac:dyDescent="0.35">
      <c r="A122" s="14" t="s">
        <v>216</v>
      </c>
      <c r="B122" s="159" t="s">
        <v>210</v>
      </c>
      <c r="C122" s="18" t="s">
        <v>155</v>
      </c>
      <c r="D122" s="7" t="s">
        <v>172</v>
      </c>
      <c r="E122" s="7" t="s">
        <v>156</v>
      </c>
      <c r="F122" s="7" t="s">
        <v>158</v>
      </c>
      <c r="G122" s="3" t="s">
        <v>159</v>
      </c>
      <c r="H122" s="160" t="s">
        <v>286</v>
      </c>
      <c r="I122" s="159" t="s">
        <v>287</v>
      </c>
      <c r="J122" s="7" t="s">
        <v>168</v>
      </c>
      <c r="K122" s="27">
        <v>1</v>
      </c>
    </row>
    <row r="123" spans="1:11" ht="26" x14ac:dyDescent="0.35">
      <c r="A123" s="14" t="s">
        <v>217</v>
      </c>
      <c r="B123" s="159"/>
      <c r="C123" s="18" t="s">
        <v>155</v>
      </c>
      <c r="D123" s="7" t="s">
        <v>176</v>
      </c>
      <c r="E123" s="7" t="s">
        <v>156</v>
      </c>
      <c r="F123" s="7" t="s">
        <v>163</v>
      </c>
      <c r="G123" s="3" t="s">
        <v>164</v>
      </c>
      <c r="H123" s="161"/>
      <c r="I123" s="159"/>
      <c r="J123" s="7" t="s">
        <v>157</v>
      </c>
      <c r="K123" s="27">
        <v>1</v>
      </c>
    </row>
    <row r="124" spans="1:11" ht="26" x14ac:dyDescent="0.35">
      <c r="A124" s="14" t="s">
        <v>218</v>
      </c>
      <c r="B124" s="159"/>
      <c r="C124" s="18" t="s">
        <v>155</v>
      </c>
      <c r="D124" s="7" t="s">
        <v>172</v>
      </c>
      <c r="E124" s="7" t="s">
        <v>156</v>
      </c>
      <c r="F124" s="7" t="s">
        <v>163</v>
      </c>
      <c r="G124" s="3" t="s">
        <v>166</v>
      </c>
      <c r="H124" s="161"/>
      <c r="I124" s="159"/>
      <c r="J124" s="7" t="s">
        <v>168</v>
      </c>
      <c r="K124" s="27">
        <v>1</v>
      </c>
    </row>
    <row r="125" spans="1:11" ht="26" x14ac:dyDescent="0.35">
      <c r="A125" s="14" t="s">
        <v>219</v>
      </c>
      <c r="B125" s="159"/>
      <c r="C125" s="18" t="s">
        <v>155</v>
      </c>
      <c r="D125" s="7" t="s">
        <v>176</v>
      </c>
      <c r="E125" s="7" t="s">
        <v>156</v>
      </c>
      <c r="F125" s="7" t="s">
        <v>158</v>
      </c>
      <c r="G125" s="3" t="s">
        <v>169</v>
      </c>
      <c r="H125" s="162"/>
      <c r="I125" s="159"/>
      <c r="J125" s="7" t="s">
        <v>157</v>
      </c>
      <c r="K125" s="27">
        <v>1</v>
      </c>
    </row>
    <row r="126" spans="1:11" ht="26" x14ac:dyDescent="0.35">
      <c r="A126" s="14" t="s">
        <v>216</v>
      </c>
      <c r="B126" s="159" t="s">
        <v>210</v>
      </c>
      <c r="C126" s="18" t="s">
        <v>155</v>
      </c>
      <c r="D126" s="7" t="s">
        <v>172</v>
      </c>
      <c r="E126" s="7" t="s">
        <v>156</v>
      </c>
      <c r="F126" s="7" t="s">
        <v>158</v>
      </c>
      <c r="G126" s="3" t="s">
        <v>159</v>
      </c>
      <c r="H126" s="160" t="s">
        <v>288</v>
      </c>
      <c r="I126" s="159" t="s">
        <v>289</v>
      </c>
      <c r="J126" s="7" t="s">
        <v>168</v>
      </c>
      <c r="K126" s="27">
        <v>1</v>
      </c>
    </row>
    <row r="127" spans="1:11" ht="26" x14ac:dyDescent="0.35">
      <c r="A127" s="14" t="s">
        <v>217</v>
      </c>
      <c r="B127" s="159"/>
      <c r="C127" s="18" t="s">
        <v>155</v>
      </c>
      <c r="D127" s="7" t="s">
        <v>176</v>
      </c>
      <c r="E127" s="7" t="s">
        <v>156</v>
      </c>
      <c r="F127" s="7" t="s">
        <v>163</v>
      </c>
      <c r="G127" s="3" t="s">
        <v>164</v>
      </c>
      <c r="H127" s="161"/>
      <c r="I127" s="159"/>
      <c r="J127" s="7" t="s">
        <v>157</v>
      </c>
      <c r="K127" s="27">
        <v>2</v>
      </c>
    </row>
    <row r="128" spans="1:11" ht="26" x14ac:dyDescent="0.35">
      <c r="A128" s="14" t="s">
        <v>218</v>
      </c>
      <c r="B128" s="159"/>
      <c r="C128" s="18" t="s">
        <v>155</v>
      </c>
      <c r="D128" s="7" t="s">
        <v>172</v>
      </c>
      <c r="E128" s="7" t="s">
        <v>156</v>
      </c>
      <c r="F128" s="7" t="s">
        <v>163</v>
      </c>
      <c r="G128" s="3" t="s">
        <v>166</v>
      </c>
      <c r="H128" s="161"/>
      <c r="I128" s="159"/>
      <c r="J128" s="7" t="s">
        <v>157</v>
      </c>
      <c r="K128" s="27">
        <v>2</v>
      </c>
    </row>
    <row r="129" spans="1:11" ht="26" x14ac:dyDescent="0.35">
      <c r="A129" s="14" t="s">
        <v>219</v>
      </c>
      <c r="B129" s="159"/>
      <c r="C129" s="18" t="s">
        <v>155</v>
      </c>
      <c r="D129" s="7" t="s">
        <v>176</v>
      </c>
      <c r="E129" s="7" t="s">
        <v>156</v>
      </c>
      <c r="F129" s="7" t="s">
        <v>158</v>
      </c>
      <c r="G129" s="3" t="s">
        <v>169</v>
      </c>
      <c r="H129" s="162"/>
      <c r="I129" s="159"/>
      <c r="J129" s="7" t="s">
        <v>168</v>
      </c>
      <c r="K129" s="27">
        <v>1</v>
      </c>
    </row>
    <row r="130" spans="1:11" ht="26.5" x14ac:dyDescent="0.35">
      <c r="A130" s="14" t="s">
        <v>216</v>
      </c>
      <c r="B130" s="159" t="s">
        <v>210</v>
      </c>
      <c r="C130" s="18" t="s">
        <v>155</v>
      </c>
      <c r="D130" s="7" t="s">
        <v>172</v>
      </c>
      <c r="E130" s="7" t="s">
        <v>156</v>
      </c>
      <c r="F130" s="7" t="s">
        <v>158</v>
      </c>
      <c r="G130" s="3" t="s">
        <v>159</v>
      </c>
      <c r="H130" s="160" t="s">
        <v>290</v>
      </c>
      <c r="I130" s="159" t="s">
        <v>291</v>
      </c>
      <c r="J130" s="13" t="s">
        <v>292</v>
      </c>
      <c r="K130" s="27">
        <v>2</v>
      </c>
    </row>
    <row r="131" spans="1:11" ht="26.5" x14ac:dyDescent="0.35">
      <c r="A131" s="14" t="s">
        <v>217</v>
      </c>
      <c r="B131" s="159"/>
      <c r="C131" s="18" t="s">
        <v>155</v>
      </c>
      <c r="D131" s="7" t="s">
        <v>176</v>
      </c>
      <c r="E131" s="7" t="s">
        <v>156</v>
      </c>
      <c r="F131" s="7" t="s">
        <v>163</v>
      </c>
      <c r="G131" s="3" t="s">
        <v>164</v>
      </c>
      <c r="H131" s="161"/>
      <c r="I131" s="159"/>
      <c r="J131" s="13" t="s">
        <v>293</v>
      </c>
      <c r="K131" s="27">
        <v>2</v>
      </c>
    </row>
    <row r="132" spans="1:11" ht="26.5" x14ac:dyDescent="0.35">
      <c r="A132" s="14" t="s">
        <v>218</v>
      </c>
      <c r="B132" s="159"/>
      <c r="C132" s="18" t="s">
        <v>155</v>
      </c>
      <c r="D132" s="7" t="s">
        <v>172</v>
      </c>
      <c r="E132" s="7" t="s">
        <v>156</v>
      </c>
      <c r="F132" s="7" t="s">
        <v>163</v>
      </c>
      <c r="G132" s="3" t="s">
        <v>166</v>
      </c>
      <c r="H132" s="161"/>
      <c r="I132" s="159"/>
      <c r="J132" s="13" t="s">
        <v>292</v>
      </c>
      <c r="K132" s="27">
        <v>2</v>
      </c>
    </row>
    <row r="133" spans="1:11" ht="26.5" x14ac:dyDescent="0.35">
      <c r="A133" s="14" t="s">
        <v>219</v>
      </c>
      <c r="B133" s="159"/>
      <c r="C133" s="18" t="s">
        <v>155</v>
      </c>
      <c r="D133" s="7" t="s">
        <v>176</v>
      </c>
      <c r="E133" s="7" t="s">
        <v>156</v>
      </c>
      <c r="F133" s="7" t="s">
        <v>158</v>
      </c>
      <c r="G133" s="3" t="s">
        <v>169</v>
      </c>
      <c r="H133" s="162"/>
      <c r="I133" s="159"/>
      <c r="J133" s="13" t="s">
        <v>293</v>
      </c>
      <c r="K133" s="27">
        <v>2</v>
      </c>
    </row>
  </sheetData>
  <autoFilter ref="A1:K133" xr:uid="{99446C6D-6A1D-4FBB-8BD0-EEB3B434CE6A}">
    <filterColumn colId="6">
      <colorFilter dxfId="0"/>
    </filterColumn>
  </autoFilter>
  <mergeCells count="99">
    <mergeCell ref="B130:B133"/>
    <mergeCell ref="H130:H133"/>
    <mergeCell ref="I130:I133"/>
    <mergeCell ref="B122:B125"/>
    <mergeCell ref="H122:H125"/>
    <mergeCell ref="I122:I125"/>
    <mergeCell ref="B126:B129"/>
    <mergeCell ref="H126:H129"/>
    <mergeCell ref="I126:I129"/>
    <mergeCell ref="B114:B117"/>
    <mergeCell ref="H114:H117"/>
    <mergeCell ref="I114:I117"/>
    <mergeCell ref="B118:B121"/>
    <mergeCell ref="H118:H121"/>
    <mergeCell ref="I118:I121"/>
    <mergeCell ref="B106:B109"/>
    <mergeCell ref="H106:H109"/>
    <mergeCell ref="I106:I109"/>
    <mergeCell ref="B110:B113"/>
    <mergeCell ref="H110:H113"/>
    <mergeCell ref="I110:I113"/>
    <mergeCell ref="B98:B101"/>
    <mergeCell ref="H98:H101"/>
    <mergeCell ref="I98:I101"/>
    <mergeCell ref="B102:B105"/>
    <mergeCell ref="H102:H105"/>
    <mergeCell ref="I102:I105"/>
    <mergeCell ref="B2:B5"/>
    <mergeCell ref="H2:H5"/>
    <mergeCell ref="I2:I5"/>
    <mergeCell ref="B6:B9"/>
    <mergeCell ref="H6:H9"/>
    <mergeCell ref="I6:I9"/>
    <mergeCell ref="B10:B13"/>
    <mergeCell ref="H10:H13"/>
    <mergeCell ref="I10:I13"/>
    <mergeCell ref="B14:B17"/>
    <mergeCell ref="H14:H17"/>
    <mergeCell ref="I14:I17"/>
    <mergeCell ref="B18:B21"/>
    <mergeCell ref="H18:H21"/>
    <mergeCell ref="I18:I21"/>
    <mergeCell ref="B22:B25"/>
    <mergeCell ref="H22:H25"/>
    <mergeCell ref="I22:I25"/>
    <mergeCell ref="H26:H29"/>
    <mergeCell ref="I26:I29"/>
    <mergeCell ref="B26:B29"/>
    <mergeCell ref="H30:H33"/>
    <mergeCell ref="I30:I33"/>
    <mergeCell ref="B30:B33"/>
    <mergeCell ref="B34:B37"/>
    <mergeCell ref="H34:H37"/>
    <mergeCell ref="I34:I37"/>
    <mergeCell ref="B38:B41"/>
    <mergeCell ref="H38:H41"/>
    <mergeCell ref="I38:I41"/>
    <mergeCell ref="B42:B45"/>
    <mergeCell ref="H42:H45"/>
    <mergeCell ref="I42:I45"/>
    <mergeCell ref="B46:B49"/>
    <mergeCell ref="H46:H49"/>
    <mergeCell ref="I46:I49"/>
    <mergeCell ref="B50:B53"/>
    <mergeCell ref="H50:H53"/>
    <mergeCell ref="I50:I53"/>
    <mergeCell ref="B54:B57"/>
    <mergeCell ref="H54:H57"/>
    <mergeCell ref="I54:I57"/>
    <mergeCell ref="B58:B61"/>
    <mergeCell ref="H58:H61"/>
    <mergeCell ref="I58:I61"/>
    <mergeCell ref="B62:B65"/>
    <mergeCell ref="H62:H65"/>
    <mergeCell ref="I62:I65"/>
    <mergeCell ref="B66:B69"/>
    <mergeCell ref="H66:H69"/>
    <mergeCell ref="I66:I69"/>
    <mergeCell ref="B70:B73"/>
    <mergeCell ref="H70:H73"/>
    <mergeCell ref="I70:I73"/>
    <mergeCell ref="B74:B77"/>
    <mergeCell ref="H74:H77"/>
    <mergeCell ref="I74:I77"/>
    <mergeCell ref="B78:B81"/>
    <mergeCell ref="H78:H81"/>
    <mergeCell ref="I78:I81"/>
    <mergeCell ref="B82:B85"/>
    <mergeCell ref="H82:H85"/>
    <mergeCell ref="I82:I85"/>
    <mergeCell ref="B86:B89"/>
    <mergeCell ref="H86:H89"/>
    <mergeCell ref="I86:I89"/>
    <mergeCell ref="B90:B93"/>
    <mergeCell ref="H90:H93"/>
    <mergeCell ref="I90:I93"/>
    <mergeCell ref="B94:B97"/>
    <mergeCell ref="H94:H97"/>
    <mergeCell ref="I94:I97"/>
  </mergeCells>
  <pageMargins left="0.7" right="0.7" top="0.75" bottom="0.75" header="0.3" footer="0.3"/>
  <headerFooter>
    <oddFooter>&amp;L_x000D_&amp;1#&amp;"Aptos"&amp;10&amp;KFF0000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444E-4D5E-4B08-8347-2377F7FF93D7}">
  <dimension ref="A1:BE85"/>
  <sheetViews>
    <sheetView showGridLines="0" tabSelected="1" topLeftCell="U1" zoomScale="80" zoomScaleNormal="80" workbookViewId="0">
      <pane ySplit="3" topLeftCell="A57" activePane="bottomLeft" state="frozen"/>
      <selection activeCell="AC1" sqref="AC1"/>
      <selection pane="bottomLeft" activeCell="U1" sqref="U1:U3"/>
    </sheetView>
  </sheetViews>
  <sheetFormatPr defaultColWidth="9.1796875" defaultRowHeight="20.149999999999999" customHeight="1" x14ac:dyDescent="0.35"/>
  <cols>
    <col min="1" max="1" width="46.54296875" style="69" customWidth="1"/>
    <col min="2" max="3" width="12.1796875" style="69" customWidth="1"/>
    <col min="4" max="4" width="13.26953125" style="69" customWidth="1"/>
    <col min="5" max="5" width="7.26953125" style="69" customWidth="1"/>
    <col min="6" max="6" width="4.81640625" style="69" bestFit="1" customWidth="1"/>
    <col min="7" max="7" width="5.7265625" style="69" bestFit="1" customWidth="1"/>
    <col min="8" max="8" width="4.81640625" style="69" bestFit="1" customWidth="1"/>
    <col min="9" max="9" width="62.81640625" style="69" customWidth="1"/>
    <col min="10" max="10" width="8.453125" style="71" customWidth="1"/>
    <col min="11" max="11" width="9.1796875" style="71" customWidth="1"/>
    <col min="12" max="12" width="30.26953125" style="69" customWidth="1"/>
    <col min="13" max="13" width="14.54296875" style="69" customWidth="1"/>
    <col min="14" max="14" width="34.453125" style="69" customWidth="1"/>
    <col min="15" max="15" width="15.7265625" style="69" customWidth="1"/>
    <col min="16" max="16" width="10.81640625" style="69" customWidth="1"/>
    <col min="17" max="17" width="14.81640625" style="69" customWidth="1"/>
    <col min="18" max="18" width="9.26953125" style="69" customWidth="1"/>
    <col min="19" max="19" width="25.54296875" style="69" customWidth="1"/>
    <col min="20" max="20" width="9" style="69" customWidth="1"/>
    <col min="21" max="21" width="16.1796875" style="69" customWidth="1"/>
    <col min="22" max="22" width="22.7265625" style="69" customWidth="1"/>
    <col min="23" max="23" width="22.26953125" style="69" customWidth="1"/>
    <col min="24" max="24" width="14" style="69" customWidth="1"/>
    <col min="25" max="25" width="27.1796875" style="69" customWidth="1"/>
    <col min="26" max="26" width="25.1796875" style="69" customWidth="1"/>
    <col min="27" max="27" width="33.81640625" style="69" customWidth="1"/>
    <col min="28" max="28" width="16" style="69" customWidth="1"/>
    <col min="29" max="29" width="12.7265625" style="69" customWidth="1"/>
    <col min="30" max="30" width="10.453125" style="69" customWidth="1"/>
    <col min="31" max="31" width="11.7265625" style="69" customWidth="1"/>
    <col min="32" max="32" width="15.26953125" style="69" customWidth="1"/>
    <col min="33" max="33" width="13.54296875" style="69" customWidth="1"/>
    <col min="34" max="34" width="13.453125" style="69" customWidth="1"/>
    <col min="35" max="35" width="34" style="69" customWidth="1"/>
    <col min="36" max="36" width="22.453125" style="69" customWidth="1"/>
    <col min="37" max="37" width="40.54296875" style="69" customWidth="1"/>
    <col min="38" max="38" width="20.26953125" style="69" customWidth="1"/>
    <col min="39" max="39" width="12.81640625" style="69" customWidth="1"/>
    <col min="40" max="40" width="37.1796875" style="69" customWidth="1"/>
    <col min="41" max="41" width="16.54296875" style="69" customWidth="1"/>
    <col min="42" max="42" width="12.26953125" style="69" customWidth="1"/>
    <col min="43" max="43" width="29.1796875" style="69" customWidth="1"/>
    <col min="44" max="44" width="15.81640625" style="69" customWidth="1"/>
    <col min="45" max="45" width="28.7265625" style="69" customWidth="1"/>
    <col min="46" max="46" width="19.81640625" style="69" bestFit="1" customWidth="1"/>
    <col min="47" max="47" width="22.54296875" style="69" bestFit="1" customWidth="1"/>
    <col min="48" max="48" width="22.1796875" style="69" bestFit="1" customWidth="1"/>
    <col min="49" max="49" width="19.54296875" style="69" customWidth="1"/>
    <col min="50" max="50" width="26.54296875" style="63" bestFit="1" customWidth="1"/>
    <col min="51" max="51" width="11.7265625" style="69" bestFit="1" customWidth="1"/>
    <col min="52" max="55" width="9.1796875" style="69"/>
    <col min="56" max="56" width="21.26953125" style="69" customWidth="1"/>
    <col min="57" max="16384" width="9.1796875" style="69"/>
  </cols>
  <sheetData>
    <row r="1" spans="1:57" s="67" customFormat="1" ht="25" customHeight="1" x14ac:dyDescent="0.35">
      <c r="A1" s="66" t="s">
        <v>142</v>
      </c>
      <c r="B1" s="176" t="s">
        <v>146</v>
      </c>
      <c r="C1" s="176" t="s">
        <v>147</v>
      </c>
      <c r="D1" s="176" t="s">
        <v>294</v>
      </c>
      <c r="E1" s="66" t="s">
        <v>295</v>
      </c>
      <c r="F1" s="66"/>
      <c r="G1" s="66"/>
      <c r="H1" s="66"/>
      <c r="I1" s="175" t="s">
        <v>296</v>
      </c>
      <c r="J1" s="175"/>
      <c r="K1" s="175"/>
      <c r="L1" s="176" t="s">
        <v>145</v>
      </c>
      <c r="M1" s="175" t="s">
        <v>297</v>
      </c>
      <c r="N1" s="176" t="s">
        <v>148</v>
      </c>
      <c r="O1" s="175" t="s">
        <v>298</v>
      </c>
      <c r="P1" s="175" t="s">
        <v>299</v>
      </c>
      <c r="Q1" s="175" t="s">
        <v>300</v>
      </c>
      <c r="R1" s="175" t="s">
        <v>301</v>
      </c>
      <c r="S1" s="175" t="s">
        <v>302</v>
      </c>
      <c r="T1" s="175" t="s">
        <v>303</v>
      </c>
      <c r="U1" s="175" t="s">
        <v>304</v>
      </c>
      <c r="V1" s="175" t="s">
        <v>305</v>
      </c>
      <c r="W1" s="175" t="s">
        <v>306</v>
      </c>
      <c r="X1" s="175" t="s">
        <v>307</v>
      </c>
      <c r="Y1" s="175" t="s">
        <v>75</v>
      </c>
      <c r="Z1" s="175" t="s">
        <v>308</v>
      </c>
      <c r="AA1" s="176" t="s">
        <v>144</v>
      </c>
      <c r="AB1" s="175" t="s">
        <v>309</v>
      </c>
      <c r="AC1" s="176" t="s">
        <v>310</v>
      </c>
      <c r="AD1" s="176" t="s">
        <v>311</v>
      </c>
      <c r="AE1" s="176" t="s">
        <v>312</v>
      </c>
      <c r="AF1" s="176" t="s">
        <v>313</v>
      </c>
      <c r="AG1" s="176" t="s">
        <v>314</v>
      </c>
      <c r="AH1" s="176" t="s">
        <v>315</v>
      </c>
      <c r="AI1" s="66" t="s">
        <v>316</v>
      </c>
      <c r="AJ1" s="66" t="s">
        <v>317</v>
      </c>
      <c r="AK1" s="108" t="s">
        <v>318</v>
      </c>
      <c r="AL1" s="175" t="s">
        <v>319</v>
      </c>
      <c r="AM1" s="108" t="s">
        <v>320</v>
      </c>
      <c r="AN1" s="108" t="s">
        <v>321</v>
      </c>
      <c r="AO1" s="175" t="s">
        <v>322</v>
      </c>
      <c r="AP1" s="175" t="s">
        <v>323</v>
      </c>
      <c r="AQ1" s="175" t="s">
        <v>324</v>
      </c>
      <c r="AR1" s="175" t="s">
        <v>325</v>
      </c>
      <c r="AS1" s="176" t="s">
        <v>326</v>
      </c>
      <c r="AT1" s="175" t="s">
        <v>327</v>
      </c>
      <c r="AU1" s="175" t="s">
        <v>328</v>
      </c>
      <c r="AV1" s="175" t="s">
        <v>329</v>
      </c>
      <c r="AW1" s="175" t="s">
        <v>330</v>
      </c>
      <c r="AX1" s="175" t="s">
        <v>151</v>
      </c>
      <c r="AY1" s="175" t="s">
        <v>152</v>
      </c>
      <c r="AZ1" s="182" t="s">
        <v>331</v>
      </c>
      <c r="BA1" s="183"/>
      <c r="BB1" s="183"/>
      <c r="BC1" s="183"/>
      <c r="BD1" s="183"/>
    </row>
    <row r="2" spans="1:57" s="67" customFormat="1" ht="20.149999999999999" customHeight="1" x14ac:dyDescent="0.35">
      <c r="A2" s="175"/>
      <c r="B2" s="176"/>
      <c r="C2" s="176"/>
      <c r="D2" s="176"/>
      <c r="E2" s="175" t="s">
        <v>332</v>
      </c>
      <c r="F2" s="175" t="s">
        <v>333</v>
      </c>
      <c r="G2" s="175" t="s">
        <v>334</v>
      </c>
      <c r="H2" s="175" t="s">
        <v>169</v>
      </c>
      <c r="I2" s="175" t="s">
        <v>149</v>
      </c>
      <c r="J2" s="175" t="s">
        <v>335</v>
      </c>
      <c r="K2" s="175" t="s">
        <v>336</v>
      </c>
      <c r="L2" s="176"/>
      <c r="M2" s="175"/>
      <c r="N2" s="176"/>
      <c r="O2" s="175"/>
      <c r="P2" s="175"/>
      <c r="Q2" s="175"/>
      <c r="R2" s="175"/>
      <c r="S2" s="175"/>
      <c r="T2" s="175"/>
      <c r="U2" s="175"/>
      <c r="V2" s="175"/>
      <c r="W2" s="175"/>
      <c r="X2" s="175"/>
      <c r="Y2" s="175"/>
      <c r="Z2" s="175"/>
      <c r="AA2" s="176"/>
      <c r="AB2" s="175"/>
      <c r="AC2" s="176"/>
      <c r="AD2" s="176"/>
      <c r="AE2" s="176"/>
      <c r="AF2" s="176"/>
      <c r="AG2" s="176"/>
      <c r="AH2" s="176"/>
      <c r="AI2" s="176"/>
      <c r="AJ2" s="176"/>
      <c r="AK2" s="175"/>
      <c r="AL2" s="175"/>
      <c r="AM2" s="175"/>
      <c r="AN2" s="175"/>
      <c r="AO2" s="175"/>
      <c r="AP2" s="175"/>
      <c r="AQ2" s="175"/>
      <c r="AR2" s="175"/>
      <c r="AS2" s="176"/>
      <c r="AT2" s="175"/>
      <c r="AU2" s="175"/>
      <c r="AV2" s="175"/>
      <c r="AW2" s="175"/>
      <c r="AX2" s="175"/>
      <c r="AY2" s="175"/>
      <c r="AZ2" s="67" t="s">
        <v>337</v>
      </c>
      <c r="BA2" s="67" t="s">
        <v>338</v>
      </c>
      <c r="BB2" s="67" t="s">
        <v>339</v>
      </c>
      <c r="BC2" s="67" t="s">
        <v>340</v>
      </c>
      <c r="BD2" s="67" t="s">
        <v>341</v>
      </c>
      <c r="BE2" s="67" t="s">
        <v>342</v>
      </c>
    </row>
    <row r="3" spans="1:57" s="67" customFormat="1" ht="20.149999999999999" customHeight="1" x14ac:dyDescent="0.35">
      <c r="A3" s="175"/>
      <c r="B3" s="176"/>
      <c r="C3" s="176"/>
      <c r="D3" s="176"/>
      <c r="E3" s="175"/>
      <c r="F3" s="175"/>
      <c r="G3" s="175"/>
      <c r="H3" s="175"/>
      <c r="I3" s="175"/>
      <c r="J3" s="175"/>
      <c r="K3" s="175"/>
      <c r="L3" s="176"/>
      <c r="M3" s="175"/>
      <c r="N3" s="176"/>
      <c r="O3" s="175"/>
      <c r="P3" s="175"/>
      <c r="Q3" s="175"/>
      <c r="R3" s="175"/>
      <c r="S3" s="175"/>
      <c r="T3" s="175"/>
      <c r="U3" s="175"/>
      <c r="V3" s="175"/>
      <c r="W3" s="175"/>
      <c r="X3" s="175"/>
      <c r="Y3" s="175"/>
      <c r="Z3" s="175"/>
      <c r="AA3" s="176"/>
      <c r="AB3" s="184"/>
      <c r="AC3" s="177"/>
      <c r="AD3" s="177"/>
      <c r="AE3" s="177"/>
      <c r="AF3" s="177"/>
      <c r="AG3" s="177"/>
      <c r="AH3" s="176"/>
      <c r="AI3" s="176"/>
      <c r="AJ3" s="176"/>
      <c r="AK3" s="175"/>
      <c r="AL3" s="175"/>
      <c r="AM3" s="175"/>
      <c r="AN3" s="175"/>
      <c r="AO3" s="175"/>
      <c r="AP3" s="175"/>
      <c r="AQ3" s="175"/>
      <c r="AR3" s="175"/>
      <c r="AS3" s="176"/>
      <c r="AT3" s="175"/>
      <c r="AU3" s="175"/>
      <c r="AV3" s="175"/>
      <c r="AW3" s="175"/>
      <c r="AX3" s="175"/>
      <c r="AY3" s="175"/>
    </row>
    <row r="4" spans="1:57" s="73" customFormat="1" ht="25" customHeight="1" x14ac:dyDescent="0.35">
      <c r="A4" s="72" t="s">
        <v>343</v>
      </c>
      <c r="B4" s="72" t="s">
        <v>157</v>
      </c>
      <c r="C4" s="72" t="s">
        <v>344</v>
      </c>
      <c r="D4" s="72" t="s">
        <v>345</v>
      </c>
      <c r="E4" s="72" t="s">
        <v>156</v>
      </c>
      <c r="F4" s="72" t="s">
        <v>156</v>
      </c>
      <c r="G4" s="72" t="s">
        <v>156</v>
      </c>
      <c r="H4" s="72" t="s">
        <v>156</v>
      </c>
      <c r="I4" s="72" t="str">
        <f t="shared" ref="I4:I35" si="0">"A valid SSO SSJ Journey for "&amp;AA4</f>
        <v>A valid SSO SSJ Journey for Connect Fixed - NBN</v>
      </c>
      <c r="J4" s="72" t="s">
        <v>346</v>
      </c>
      <c r="K4" s="72" t="s">
        <v>347</v>
      </c>
      <c r="L4" s="77" t="s">
        <v>348</v>
      </c>
      <c r="M4" s="72" t="s">
        <v>159</v>
      </c>
      <c r="N4" s="72" t="s">
        <v>349</v>
      </c>
      <c r="O4" s="72" t="s">
        <v>159</v>
      </c>
      <c r="P4" s="72" t="s">
        <v>156</v>
      </c>
      <c r="Q4" s="72" t="s">
        <v>350</v>
      </c>
      <c r="R4" s="72" t="s">
        <v>347</v>
      </c>
      <c r="S4" s="115" t="s">
        <v>351</v>
      </c>
      <c r="T4" s="72" t="s">
        <v>352</v>
      </c>
      <c r="U4" s="72" t="s">
        <v>156</v>
      </c>
      <c r="V4" s="72" t="s">
        <v>353</v>
      </c>
      <c r="W4" s="72" t="s">
        <v>354</v>
      </c>
      <c r="X4" s="87" t="s">
        <v>355</v>
      </c>
      <c r="Y4" s="87" t="s">
        <v>156</v>
      </c>
      <c r="Z4" s="87" t="s">
        <v>157</v>
      </c>
      <c r="AA4" s="72" t="s">
        <v>356</v>
      </c>
      <c r="AB4" s="72" t="s">
        <v>156</v>
      </c>
      <c r="AC4" s="72" t="s">
        <v>357</v>
      </c>
      <c r="AD4" s="72" t="s">
        <v>156</v>
      </c>
      <c r="AE4" s="72" t="s">
        <v>156</v>
      </c>
      <c r="AF4" s="72" t="s">
        <v>156</v>
      </c>
      <c r="AG4" s="88" t="s">
        <v>156</v>
      </c>
      <c r="AH4" s="88" t="s">
        <v>156</v>
      </c>
      <c r="AI4" s="77" t="s">
        <v>358</v>
      </c>
      <c r="AJ4" s="72" t="s">
        <v>156</v>
      </c>
      <c r="AK4" s="72" t="s">
        <v>359</v>
      </c>
      <c r="AL4" s="72" t="s">
        <v>360</v>
      </c>
      <c r="AM4" s="72" t="s">
        <v>361</v>
      </c>
      <c r="AN4" s="72" t="s">
        <v>362</v>
      </c>
      <c r="AO4" s="72" t="s">
        <v>363</v>
      </c>
      <c r="AP4" s="72" t="s">
        <v>156</v>
      </c>
      <c r="AQ4" s="72" t="s">
        <v>156</v>
      </c>
      <c r="AR4" s="72" t="s">
        <v>156</v>
      </c>
      <c r="AS4" s="72" t="s">
        <v>364</v>
      </c>
      <c r="AT4" s="72" t="s">
        <v>156</v>
      </c>
      <c r="AU4" s="72" t="s">
        <v>156</v>
      </c>
      <c r="AV4" s="72" t="s">
        <v>156</v>
      </c>
      <c r="AW4" s="180" t="s">
        <v>365</v>
      </c>
      <c r="AX4" s="178" t="s">
        <v>366</v>
      </c>
      <c r="AY4" s="72">
        <v>6</v>
      </c>
    </row>
    <row r="5" spans="1:57" s="73" customFormat="1" ht="25" customHeight="1" x14ac:dyDescent="0.35">
      <c r="A5" s="72" t="s">
        <v>367</v>
      </c>
      <c r="B5" s="72" t="s">
        <v>157</v>
      </c>
      <c r="C5" s="72" t="s">
        <v>344</v>
      </c>
      <c r="D5" s="72" t="s">
        <v>345</v>
      </c>
      <c r="E5" s="72" t="s">
        <v>156</v>
      </c>
      <c r="F5" s="72" t="s">
        <v>156</v>
      </c>
      <c r="G5" s="72" t="s">
        <v>156</v>
      </c>
      <c r="H5" s="72" t="s">
        <v>156</v>
      </c>
      <c r="I5" s="72" t="str">
        <f t="shared" si="0"/>
        <v>A valid SSO SSJ Journey for Connect Fixed - NBN</v>
      </c>
      <c r="J5" s="72" t="s">
        <v>346</v>
      </c>
      <c r="K5" s="72" t="s">
        <v>347</v>
      </c>
      <c r="L5" s="72" t="s">
        <v>368</v>
      </c>
      <c r="M5" s="72" t="s">
        <v>159</v>
      </c>
      <c r="N5" s="72" t="s">
        <v>349</v>
      </c>
      <c r="O5" s="72" t="s">
        <v>159</v>
      </c>
      <c r="P5" s="72" t="s">
        <v>156</v>
      </c>
      <c r="Q5" s="72" t="s">
        <v>346</v>
      </c>
      <c r="R5" s="72" t="s">
        <v>346</v>
      </c>
      <c r="S5" s="72" t="s">
        <v>156</v>
      </c>
      <c r="T5" s="72" t="s">
        <v>369</v>
      </c>
      <c r="U5" s="72" t="s">
        <v>156</v>
      </c>
      <c r="V5" s="77" t="s">
        <v>370</v>
      </c>
      <c r="W5" s="72" t="s">
        <v>354</v>
      </c>
      <c r="X5" s="87" t="s">
        <v>371</v>
      </c>
      <c r="Y5" s="87" t="s">
        <v>372</v>
      </c>
      <c r="Z5" s="87" t="s">
        <v>157</v>
      </c>
      <c r="AA5" s="72" t="s">
        <v>356</v>
      </c>
      <c r="AB5" s="72" t="s">
        <v>156</v>
      </c>
      <c r="AC5" s="72" t="s">
        <v>373</v>
      </c>
      <c r="AD5" s="72" t="s">
        <v>357</v>
      </c>
      <c r="AE5" s="89" t="s">
        <v>374</v>
      </c>
      <c r="AF5" s="89" t="s">
        <v>375</v>
      </c>
      <c r="AG5" s="104">
        <v>1300</v>
      </c>
      <c r="AH5" s="88" t="s">
        <v>357</v>
      </c>
      <c r="AI5" s="77" t="s">
        <v>376</v>
      </c>
      <c r="AJ5" s="72" t="s">
        <v>156</v>
      </c>
      <c r="AK5" s="72" t="s">
        <v>377</v>
      </c>
      <c r="AL5" s="72" t="s">
        <v>378</v>
      </c>
      <c r="AM5" s="72" t="s">
        <v>379</v>
      </c>
      <c r="AN5" s="72" t="s">
        <v>156</v>
      </c>
      <c r="AO5" s="72" t="s">
        <v>363</v>
      </c>
      <c r="AP5" s="72" t="s">
        <v>156</v>
      </c>
      <c r="AQ5" s="72" t="s">
        <v>156</v>
      </c>
      <c r="AR5" s="72" t="s">
        <v>156</v>
      </c>
      <c r="AS5" s="72" t="s">
        <v>364</v>
      </c>
      <c r="AT5" s="72" t="s">
        <v>156</v>
      </c>
      <c r="AU5" s="72" t="s">
        <v>156</v>
      </c>
      <c r="AV5" s="72" t="s">
        <v>156</v>
      </c>
      <c r="AW5" s="181"/>
      <c r="AX5" s="179"/>
      <c r="AY5" s="72">
        <v>5</v>
      </c>
    </row>
    <row r="6" spans="1:57" s="73" customFormat="1" ht="25" customHeight="1" x14ac:dyDescent="0.35">
      <c r="A6" s="72" t="s">
        <v>380</v>
      </c>
      <c r="B6" s="72" t="s">
        <v>168</v>
      </c>
      <c r="C6" s="72" t="s">
        <v>344</v>
      </c>
      <c r="D6" s="72" t="s">
        <v>345</v>
      </c>
      <c r="E6" s="72" t="s">
        <v>381</v>
      </c>
      <c r="F6" s="72" t="s">
        <v>156</v>
      </c>
      <c r="G6" s="72" t="s">
        <v>156</v>
      </c>
      <c r="H6" s="72" t="s">
        <v>156</v>
      </c>
      <c r="I6" s="72" t="str">
        <f t="shared" si="0"/>
        <v>A valid SSO SSJ Journey for Connect Fixed -Connect Outstanding</v>
      </c>
      <c r="J6" s="72" t="s">
        <v>346</v>
      </c>
      <c r="K6" s="72" t="s">
        <v>347</v>
      </c>
      <c r="L6" s="72" t="s">
        <v>382</v>
      </c>
      <c r="M6" s="72" t="s">
        <v>383</v>
      </c>
      <c r="N6" s="72" t="s">
        <v>349</v>
      </c>
      <c r="O6" s="72" t="s">
        <v>384</v>
      </c>
      <c r="P6" s="72" t="s">
        <v>385</v>
      </c>
      <c r="Q6" s="72" t="s">
        <v>346</v>
      </c>
      <c r="R6" s="72" t="s">
        <v>346</v>
      </c>
      <c r="S6" s="72" t="s">
        <v>156</v>
      </c>
      <c r="T6" s="72" t="s">
        <v>369</v>
      </c>
      <c r="U6" s="72" t="s">
        <v>156</v>
      </c>
      <c r="V6" s="77" t="s">
        <v>386</v>
      </c>
      <c r="W6" s="72" t="s">
        <v>387</v>
      </c>
      <c r="X6" s="87" t="s">
        <v>388</v>
      </c>
      <c r="Y6" s="97" t="s">
        <v>389</v>
      </c>
      <c r="Z6" s="87" t="s">
        <v>390</v>
      </c>
      <c r="AA6" s="72" t="s">
        <v>391</v>
      </c>
      <c r="AB6" s="72" t="s">
        <v>156</v>
      </c>
      <c r="AC6" s="72" t="s">
        <v>357</v>
      </c>
      <c r="AD6" s="72" t="s">
        <v>357</v>
      </c>
      <c r="AE6" s="72" t="s">
        <v>392</v>
      </c>
      <c r="AF6" s="72" t="s">
        <v>393</v>
      </c>
      <c r="AG6" s="88">
        <v>2200</v>
      </c>
      <c r="AH6" s="88" t="s">
        <v>394</v>
      </c>
      <c r="AI6" s="77" t="s">
        <v>376</v>
      </c>
      <c r="AJ6" s="72" t="s">
        <v>156</v>
      </c>
      <c r="AK6" s="72" t="s">
        <v>377</v>
      </c>
      <c r="AL6" s="72" t="s">
        <v>395</v>
      </c>
      <c r="AM6" s="72" t="s">
        <v>373</v>
      </c>
      <c r="AN6" s="116" t="s">
        <v>396</v>
      </c>
      <c r="AO6" s="72" t="s">
        <v>397</v>
      </c>
      <c r="AP6" s="72" t="s">
        <v>398</v>
      </c>
      <c r="AQ6" s="72" t="s">
        <v>156</v>
      </c>
      <c r="AR6" s="72" t="s">
        <v>156</v>
      </c>
      <c r="AS6" s="72" t="s">
        <v>337</v>
      </c>
      <c r="AT6" s="72" t="s">
        <v>156</v>
      </c>
      <c r="AU6" s="72" t="s">
        <v>156</v>
      </c>
      <c r="AV6" s="72" t="s">
        <v>156</v>
      </c>
      <c r="AW6" s="181"/>
      <c r="AX6" s="179"/>
      <c r="AY6" s="72">
        <v>6</v>
      </c>
    </row>
    <row r="7" spans="1:57" s="73" customFormat="1" ht="25" customHeight="1" x14ac:dyDescent="0.35">
      <c r="A7" s="72" t="s">
        <v>399</v>
      </c>
      <c r="B7" s="72" t="s">
        <v>157</v>
      </c>
      <c r="C7" s="72" t="s">
        <v>400</v>
      </c>
      <c r="D7" s="72" t="s">
        <v>345</v>
      </c>
      <c r="E7" s="72" t="s">
        <v>156</v>
      </c>
      <c r="F7" s="72" t="s">
        <v>156</v>
      </c>
      <c r="G7" s="72" t="s">
        <v>156</v>
      </c>
      <c r="H7" s="72" t="s">
        <v>156</v>
      </c>
      <c r="I7" s="72" t="str">
        <f t="shared" si="0"/>
        <v>A valid SSO SSJ Journey for Connect Fixed - Service Transfer</v>
      </c>
      <c r="J7" s="72" t="s">
        <v>346</v>
      </c>
      <c r="K7" s="72" t="s">
        <v>347</v>
      </c>
      <c r="L7" s="72" t="s">
        <v>368</v>
      </c>
      <c r="M7" s="72" t="s">
        <v>401</v>
      </c>
      <c r="N7" s="72" t="s">
        <v>349</v>
      </c>
      <c r="O7" s="72" t="s">
        <v>159</v>
      </c>
      <c r="P7" s="72" t="s">
        <v>156</v>
      </c>
      <c r="Q7" s="72" t="s">
        <v>346</v>
      </c>
      <c r="R7" s="72" t="s">
        <v>346</v>
      </c>
      <c r="S7" s="72" t="s">
        <v>156</v>
      </c>
      <c r="T7" s="72" t="s">
        <v>369</v>
      </c>
      <c r="U7" s="72" t="s">
        <v>156</v>
      </c>
      <c r="V7" s="77" t="s">
        <v>402</v>
      </c>
      <c r="W7" s="72" t="s">
        <v>403</v>
      </c>
      <c r="X7" s="97" t="s">
        <v>388</v>
      </c>
      <c r="Y7" s="97" t="s">
        <v>404</v>
      </c>
      <c r="Z7" s="87" t="s">
        <v>405</v>
      </c>
      <c r="AA7" s="72" t="s">
        <v>406</v>
      </c>
      <c r="AB7" s="72" t="s">
        <v>156</v>
      </c>
      <c r="AC7" s="72" t="s">
        <v>357</v>
      </c>
      <c r="AD7" s="72" t="s">
        <v>357</v>
      </c>
      <c r="AE7" s="72" t="s">
        <v>407</v>
      </c>
      <c r="AF7" s="72" t="s">
        <v>408</v>
      </c>
      <c r="AG7" s="88">
        <v>2200</v>
      </c>
      <c r="AH7" s="88" t="s">
        <v>394</v>
      </c>
      <c r="AI7" s="77" t="s">
        <v>376</v>
      </c>
      <c r="AJ7" s="72" t="s">
        <v>156</v>
      </c>
      <c r="AK7" s="72" t="s">
        <v>377</v>
      </c>
      <c r="AL7" s="72" t="s">
        <v>409</v>
      </c>
      <c r="AM7" s="72" t="s">
        <v>361</v>
      </c>
      <c r="AN7" s="72" t="s">
        <v>156</v>
      </c>
      <c r="AO7" s="72" t="s">
        <v>363</v>
      </c>
      <c r="AP7" s="72" t="s">
        <v>156</v>
      </c>
      <c r="AQ7" s="72" t="s">
        <v>156</v>
      </c>
      <c r="AR7" s="72" t="s">
        <v>156</v>
      </c>
      <c r="AS7" s="72" t="s">
        <v>364</v>
      </c>
      <c r="AT7" s="72" t="s">
        <v>156</v>
      </c>
      <c r="AU7" s="72" t="s">
        <v>156</v>
      </c>
      <c r="AV7" s="72" t="s">
        <v>156</v>
      </c>
      <c r="AW7" s="181"/>
      <c r="AX7" s="179"/>
      <c r="AY7" s="72">
        <v>5</v>
      </c>
    </row>
    <row r="8" spans="1:57" s="73" customFormat="1" ht="25" customHeight="1" x14ac:dyDescent="0.35">
      <c r="A8" s="72" t="s">
        <v>410</v>
      </c>
      <c r="B8" s="72" t="s">
        <v>157</v>
      </c>
      <c r="C8" s="72" t="s">
        <v>344</v>
      </c>
      <c r="D8" s="72" t="s">
        <v>345</v>
      </c>
      <c r="E8" s="72" t="s">
        <v>156</v>
      </c>
      <c r="F8" s="72" t="s">
        <v>156</v>
      </c>
      <c r="G8" s="72" t="s">
        <v>156</v>
      </c>
      <c r="H8" s="72" t="s">
        <v>156</v>
      </c>
      <c r="I8" s="72" t="str">
        <f t="shared" si="0"/>
        <v>A valid SSO SSJ Journey for Connect Fixed - Internal Loss (Kogan to VF)</v>
      </c>
      <c r="J8" s="72" t="s">
        <v>346</v>
      </c>
      <c r="K8" s="72" t="s">
        <v>347</v>
      </c>
      <c r="L8" s="72" t="s">
        <v>368</v>
      </c>
      <c r="M8" s="72" t="s">
        <v>159</v>
      </c>
      <c r="N8" s="72" t="s">
        <v>349</v>
      </c>
      <c r="O8" s="72" t="s">
        <v>159</v>
      </c>
      <c r="P8" s="72" t="s">
        <v>156</v>
      </c>
      <c r="Q8" s="72" t="s">
        <v>346</v>
      </c>
      <c r="R8" s="72" t="s">
        <v>346</v>
      </c>
      <c r="S8" s="72" t="s">
        <v>156</v>
      </c>
      <c r="T8" s="72" t="s">
        <v>369</v>
      </c>
      <c r="U8" s="72" t="s">
        <v>156</v>
      </c>
      <c r="V8" s="77" t="s">
        <v>386</v>
      </c>
      <c r="W8" s="72" t="s">
        <v>403</v>
      </c>
      <c r="X8" s="87" t="s">
        <v>388</v>
      </c>
      <c r="Y8" s="97" t="s">
        <v>389</v>
      </c>
      <c r="Z8" s="87" t="s">
        <v>411</v>
      </c>
      <c r="AA8" s="72" t="s">
        <v>412</v>
      </c>
      <c r="AB8" s="72" t="s">
        <v>156</v>
      </c>
      <c r="AC8" s="72" t="s">
        <v>373</v>
      </c>
      <c r="AD8" s="72" t="s">
        <v>357</v>
      </c>
      <c r="AE8" s="89" t="s">
        <v>374</v>
      </c>
      <c r="AF8" s="89" t="s">
        <v>375</v>
      </c>
      <c r="AG8" s="104">
        <v>1300</v>
      </c>
      <c r="AH8" s="88" t="s">
        <v>394</v>
      </c>
      <c r="AI8" s="77" t="s">
        <v>376</v>
      </c>
      <c r="AJ8" s="72" t="s">
        <v>156</v>
      </c>
      <c r="AK8" s="72" t="s">
        <v>377</v>
      </c>
      <c r="AL8" s="72" t="s">
        <v>378</v>
      </c>
      <c r="AM8" s="72" t="s">
        <v>379</v>
      </c>
      <c r="AN8" s="72" t="s">
        <v>156</v>
      </c>
      <c r="AO8" s="72" t="s">
        <v>363</v>
      </c>
      <c r="AP8" s="72" t="s">
        <v>156</v>
      </c>
      <c r="AQ8" s="72" t="s">
        <v>156</v>
      </c>
      <c r="AR8" s="72" t="s">
        <v>156</v>
      </c>
      <c r="AS8" s="72" t="s">
        <v>364</v>
      </c>
      <c r="AT8" s="72" t="s">
        <v>156</v>
      </c>
      <c r="AU8" s="72" t="s">
        <v>156</v>
      </c>
      <c r="AV8" s="72" t="s">
        <v>156</v>
      </c>
      <c r="AW8" s="181"/>
      <c r="AX8" s="179"/>
      <c r="AY8" s="72">
        <v>5</v>
      </c>
    </row>
    <row r="9" spans="1:57" s="73" customFormat="1" ht="25" customHeight="1" x14ac:dyDescent="0.35">
      <c r="A9" s="72" t="s">
        <v>413</v>
      </c>
      <c r="B9" s="72" t="s">
        <v>157</v>
      </c>
      <c r="C9" s="72" t="s">
        <v>400</v>
      </c>
      <c r="D9" s="72" t="s">
        <v>345</v>
      </c>
      <c r="E9" s="72" t="s">
        <v>156</v>
      </c>
      <c r="F9" s="72" t="s">
        <v>156</v>
      </c>
      <c r="G9" s="72" t="s">
        <v>156</v>
      </c>
      <c r="H9" s="72" t="s">
        <v>156</v>
      </c>
      <c r="I9" s="72" t="str">
        <f t="shared" si="0"/>
        <v>A valid SSO SSJ Journey for Connect Fixed - NBN</v>
      </c>
      <c r="J9" s="72" t="s">
        <v>346</v>
      </c>
      <c r="K9" s="72" t="s">
        <v>347</v>
      </c>
      <c r="L9" s="72" t="s">
        <v>414</v>
      </c>
      <c r="M9" s="72" t="s">
        <v>159</v>
      </c>
      <c r="N9" s="72" t="s">
        <v>349</v>
      </c>
      <c r="O9" s="72" t="s">
        <v>159</v>
      </c>
      <c r="P9" s="72" t="s">
        <v>156</v>
      </c>
      <c r="Q9" s="72" t="s">
        <v>346</v>
      </c>
      <c r="R9" s="72" t="s">
        <v>346</v>
      </c>
      <c r="S9" s="72" t="s">
        <v>156</v>
      </c>
      <c r="T9" s="72" t="s">
        <v>369</v>
      </c>
      <c r="U9" s="72" t="s">
        <v>156</v>
      </c>
      <c r="V9" s="116" t="s">
        <v>415</v>
      </c>
      <c r="W9" s="72" t="s">
        <v>416</v>
      </c>
      <c r="X9" s="97" t="s">
        <v>371</v>
      </c>
      <c r="Y9" s="131" t="s">
        <v>417</v>
      </c>
      <c r="Z9" s="87" t="s">
        <v>411</v>
      </c>
      <c r="AA9" s="72" t="s">
        <v>356</v>
      </c>
      <c r="AB9" s="72" t="s">
        <v>156</v>
      </c>
      <c r="AC9" s="72" t="s">
        <v>418</v>
      </c>
      <c r="AD9" s="72" t="s">
        <v>357</v>
      </c>
      <c r="AE9" s="89" t="s">
        <v>374</v>
      </c>
      <c r="AF9" s="89" t="s">
        <v>375</v>
      </c>
      <c r="AG9" s="104">
        <v>1300</v>
      </c>
      <c r="AH9" s="88" t="s">
        <v>394</v>
      </c>
      <c r="AI9" s="77" t="s">
        <v>419</v>
      </c>
      <c r="AJ9" s="72" t="s">
        <v>156</v>
      </c>
      <c r="AK9" s="72" t="s">
        <v>359</v>
      </c>
      <c r="AL9" s="72" t="s">
        <v>420</v>
      </c>
      <c r="AM9" s="72" t="s">
        <v>421</v>
      </c>
      <c r="AN9" s="72" t="s">
        <v>422</v>
      </c>
      <c r="AO9" s="72" t="s">
        <v>397</v>
      </c>
      <c r="AP9" s="72" t="s">
        <v>398</v>
      </c>
      <c r="AQ9" s="72" t="s">
        <v>423</v>
      </c>
      <c r="AR9" s="72" t="s">
        <v>424</v>
      </c>
      <c r="AS9" s="72" t="s">
        <v>364</v>
      </c>
      <c r="AT9" s="72" t="s">
        <v>425</v>
      </c>
      <c r="AU9" s="72" t="s">
        <v>426</v>
      </c>
      <c r="AV9" s="72" t="s">
        <v>427</v>
      </c>
      <c r="AW9" s="181"/>
      <c r="AX9" s="179"/>
      <c r="AY9" s="72">
        <v>5</v>
      </c>
    </row>
    <row r="10" spans="1:57" s="73" customFormat="1" ht="25" customHeight="1" x14ac:dyDescent="0.35">
      <c r="A10" s="72" t="s">
        <v>428</v>
      </c>
      <c r="B10" s="72" t="s">
        <v>168</v>
      </c>
      <c r="C10" s="72" t="s">
        <v>400</v>
      </c>
      <c r="D10" s="72" t="s">
        <v>345</v>
      </c>
      <c r="E10" s="72" t="s">
        <v>156</v>
      </c>
      <c r="F10" s="72" t="s">
        <v>381</v>
      </c>
      <c r="G10" s="72" t="s">
        <v>156</v>
      </c>
      <c r="H10" s="72" t="s">
        <v>156</v>
      </c>
      <c r="I10" s="72" t="str">
        <f t="shared" si="0"/>
        <v>A valid SSO SSJ Journey for Connect Fixed - Internal Loss (TPG to VF)</v>
      </c>
      <c r="J10" s="72" t="s">
        <v>346</v>
      </c>
      <c r="K10" s="72" t="s">
        <v>347</v>
      </c>
      <c r="L10" s="72" t="s">
        <v>414</v>
      </c>
      <c r="M10" s="72" t="s">
        <v>159</v>
      </c>
      <c r="N10" s="72" t="s">
        <v>349</v>
      </c>
      <c r="O10" s="72" t="s">
        <v>159</v>
      </c>
      <c r="P10" s="72" t="s">
        <v>156</v>
      </c>
      <c r="Q10" s="72" t="s">
        <v>346</v>
      </c>
      <c r="R10" s="72" t="s">
        <v>346</v>
      </c>
      <c r="S10" s="72" t="s">
        <v>156</v>
      </c>
      <c r="T10" s="72" t="s">
        <v>369</v>
      </c>
      <c r="U10" s="72" t="s">
        <v>156</v>
      </c>
      <c r="V10" s="116" t="s">
        <v>429</v>
      </c>
      <c r="W10" s="72" t="s">
        <v>403</v>
      </c>
      <c r="X10" s="97" t="s">
        <v>388</v>
      </c>
      <c r="Y10" s="131" t="s">
        <v>430</v>
      </c>
      <c r="Z10" s="87" t="s">
        <v>411</v>
      </c>
      <c r="AA10" s="72" t="s">
        <v>431</v>
      </c>
      <c r="AB10" s="72" t="s">
        <v>156</v>
      </c>
      <c r="AC10" s="72" t="s">
        <v>357</v>
      </c>
      <c r="AD10" s="72" t="s">
        <v>357</v>
      </c>
      <c r="AE10" s="72" t="s">
        <v>392</v>
      </c>
      <c r="AF10" s="72" t="s">
        <v>393</v>
      </c>
      <c r="AG10" s="88">
        <v>2200</v>
      </c>
      <c r="AH10" s="88" t="s">
        <v>394</v>
      </c>
      <c r="AI10" s="77" t="s">
        <v>358</v>
      </c>
      <c r="AJ10" s="72" t="s">
        <v>156</v>
      </c>
      <c r="AK10" s="72" t="s">
        <v>359</v>
      </c>
      <c r="AL10" s="72" t="s">
        <v>432</v>
      </c>
      <c r="AM10" s="72" t="s">
        <v>373</v>
      </c>
      <c r="AN10" s="72" t="s">
        <v>433</v>
      </c>
      <c r="AO10" s="72" t="s">
        <v>363</v>
      </c>
      <c r="AP10" s="72" t="s">
        <v>156</v>
      </c>
      <c r="AQ10" s="72" t="s">
        <v>156</v>
      </c>
      <c r="AR10" s="72" t="s">
        <v>156</v>
      </c>
      <c r="AS10" s="72" t="s">
        <v>337</v>
      </c>
      <c r="AT10" s="72" t="s">
        <v>156</v>
      </c>
      <c r="AU10" s="72" t="s">
        <v>156</v>
      </c>
      <c r="AV10" s="72" t="s">
        <v>156</v>
      </c>
      <c r="AW10" s="181"/>
      <c r="AX10" s="179"/>
      <c r="AY10" s="72">
        <v>5</v>
      </c>
    </row>
    <row r="11" spans="1:57" s="73" customFormat="1" ht="25" customHeight="1" x14ac:dyDescent="0.35">
      <c r="A11" s="72" t="s">
        <v>434</v>
      </c>
      <c r="B11" s="72" t="s">
        <v>168</v>
      </c>
      <c r="C11" s="72" t="s">
        <v>400</v>
      </c>
      <c r="D11" s="72" t="s">
        <v>345</v>
      </c>
      <c r="E11" s="72" t="s">
        <v>156</v>
      </c>
      <c r="F11" s="72" t="s">
        <v>156</v>
      </c>
      <c r="G11" s="72" t="s">
        <v>381</v>
      </c>
      <c r="H11" s="72" t="s">
        <v>156</v>
      </c>
      <c r="I11" s="72" t="str">
        <f t="shared" si="0"/>
        <v>A valid SSO SSJ Journey for Connect Fixed - Service Transfer Reversal</v>
      </c>
      <c r="J11" s="72" t="s">
        <v>346</v>
      </c>
      <c r="K11" s="72" t="s">
        <v>347</v>
      </c>
      <c r="L11" s="72" t="s">
        <v>414</v>
      </c>
      <c r="M11" s="72" t="s">
        <v>159</v>
      </c>
      <c r="N11" s="72" t="s">
        <v>349</v>
      </c>
      <c r="O11" s="72" t="s">
        <v>159</v>
      </c>
      <c r="P11" s="72" t="s">
        <v>156</v>
      </c>
      <c r="Q11" s="72" t="s">
        <v>346</v>
      </c>
      <c r="R11" s="72" t="s">
        <v>346</v>
      </c>
      <c r="S11" s="72" t="s">
        <v>156</v>
      </c>
      <c r="T11" s="72" t="s">
        <v>369</v>
      </c>
      <c r="U11" s="72" t="s">
        <v>156</v>
      </c>
      <c r="V11" s="116" t="s">
        <v>435</v>
      </c>
      <c r="W11" s="72" t="s">
        <v>403</v>
      </c>
      <c r="X11" s="97" t="s">
        <v>388</v>
      </c>
      <c r="Y11" s="131" t="s">
        <v>404</v>
      </c>
      <c r="Z11" s="97" t="s">
        <v>436</v>
      </c>
      <c r="AA11" s="72" t="s">
        <v>437</v>
      </c>
      <c r="AB11" s="72" t="s">
        <v>156</v>
      </c>
      <c r="AC11" s="72" t="s">
        <v>357</v>
      </c>
      <c r="AD11" s="72" t="s">
        <v>357</v>
      </c>
      <c r="AE11" s="72" t="s">
        <v>407</v>
      </c>
      <c r="AF11" s="72" t="s">
        <v>408</v>
      </c>
      <c r="AG11" s="88">
        <v>2200</v>
      </c>
      <c r="AH11" s="88" t="s">
        <v>394</v>
      </c>
      <c r="AI11" s="77" t="s">
        <v>358</v>
      </c>
      <c r="AJ11" s="72" t="s">
        <v>156</v>
      </c>
      <c r="AK11" s="72" t="s">
        <v>359</v>
      </c>
      <c r="AL11" s="72" t="s">
        <v>438</v>
      </c>
      <c r="AM11" s="72" t="s">
        <v>439</v>
      </c>
      <c r="AN11" s="72" t="s">
        <v>440</v>
      </c>
      <c r="AO11" s="72" t="s">
        <v>363</v>
      </c>
      <c r="AP11" s="72" t="s">
        <v>156</v>
      </c>
      <c r="AQ11" s="72" t="s">
        <v>156</v>
      </c>
      <c r="AR11" s="72" t="s">
        <v>156</v>
      </c>
      <c r="AS11" s="72" t="s">
        <v>337</v>
      </c>
      <c r="AT11" s="72" t="s">
        <v>156</v>
      </c>
      <c r="AU11" s="72" t="s">
        <v>156</v>
      </c>
      <c r="AV11" s="72" t="s">
        <v>156</v>
      </c>
      <c r="AW11" s="181"/>
      <c r="AX11" s="179"/>
      <c r="AY11" s="72">
        <v>5</v>
      </c>
    </row>
    <row r="12" spans="1:57" s="73" customFormat="1" ht="20.149999999999999" customHeight="1" x14ac:dyDescent="0.35">
      <c r="A12" s="72" t="s">
        <v>441</v>
      </c>
      <c r="B12" s="72" t="s">
        <v>157</v>
      </c>
      <c r="C12" s="72" t="s">
        <v>344</v>
      </c>
      <c r="D12" s="72" t="s">
        <v>345</v>
      </c>
      <c r="E12" s="72" t="s">
        <v>156</v>
      </c>
      <c r="F12" s="72" t="s">
        <v>156</v>
      </c>
      <c r="G12" s="72" t="s">
        <v>156</v>
      </c>
      <c r="H12" s="72" t="s">
        <v>156</v>
      </c>
      <c r="I12" s="72" t="str">
        <f t="shared" si="0"/>
        <v>A valid SSO SSJ Journey for Connect Fixed - NBN</v>
      </c>
      <c r="J12" s="72" t="s">
        <v>346</v>
      </c>
      <c r="K12" s="72" t="s">
        <v>347</v>
      </c>
      <c r="L12" s="72" t="s">
        <v>368</v>
      </c>
      <c r="M12" s="72" t="s">
        <v>159</v>
      </c>
      <c r="N12" s="72" t="s">
        <v>442</v>
      </c>
      <c r="O12" s="72" t="s">
        <v>159</v>
      </c>
      <c r="P12" s="72" t="s">
        <v>156</v>
      </c>
      <c r="Q12" s="72" t="s">
        <v>443</v>
      </c>
      <c r="R12" s="72" t="s">
        <v>347</v>
      </c>
      <c r="S12" s="115" t="s">
        <v>351</v>
      </c>
      <c r="T12" s="72" t="s">
        <v>444</v>
      </c>
      <c r="U12" s="72" t="s">
        <v>156</v>
      </c>
      <c r="V12" s="72" t="s">
        <v>353</v>
      </c>
      <c r="W12" s="72" t="s">
        <v>354</v>
      </c>
      <c r="X12" s="87" t="s">
        <v>355</v>
      </c>
      <c r="Y12" s="87" t="s">
        <v>156</v>
      </c>
      <c r="Z12" s="87" t="s">
        <v>157</v>
      </c>
      <c r="AA12" s="72" t="s">
        <v>356</v>
      </c>
      <c r="AB12" s="72" t="s">
        <v>156</v>
      </c>
      <c r="AC12" s="72" t="s">
        <v>357</v>
      </c>
      <c r="AD12" s="72" t="s">
        <v>156</v>
      </c>
      <c r="AE12" s="72" t="s">
        <v>156</v>
      </c>
      <c r="AF12" s="72" t="s">
        <v>156</v>
      </c>
      <c r="AG12" s="72" t="s">
        <v>156</v>
      </c>
      <c r="AH12" s="88" t="s">
        <v>156</v>
      </c>
      <c r="AI12" s="77" t="s">
        <v>376</v>
      </c>
      <c r="AJ12" s="72" t="s">
        <v>156</v>
      </c>
      <c r="AK12" s="72" t="s">
        <v>377</v>
      </c>
      <c r="AL12" s="72" t="s">
        <v>445</v>
      </c>
      <c r="AM12" s="72" t="s">
        <v>361</v>
      </c>
      <c r="AN12" s="72" t="s">
        <v>156</v>
      </c>
      <c r="AO12" s="72" t="s">
        <v>397</v>
      </c>
      <c r="AP12" s="72" t="s">
        <v>424</v>
      </c>
      <c r="AQ12" s="72" t="s">
        <v>446</v>
      </c>
      <c r="AR12" s="72" t="s">
        <v>424</v>
      </c>
      <c r="AS12" s="72" t="s">
        <v>364</v>
      </c>
      <c r="AT12" s="72" t="s">
        <v>425</v>
      </c>
      <c r="AU12" s="72" t="s">
        <v>426</v>
      </c>
      <c r="AV12" s="72" t="s">
        <v>427</v>
      </c>
      <c r="AW12" s="181"/>
      <c r="AX12" s="179"/>
      <c r="AY12" s="72">
        <v>5</v>
      </c>
    </row>
    <row r="13" spans="1:57" s="73" customFormat="1" ht="20.149999999999999" customHeight="1" x14ac:dyDescent="0.35">
      <c r="A13" s="72" t="s">
        <v>447</v>
      </c>
      <c r="B13" s="72" t="s">
        <v>157</v>
      </c>
      <c r="C13" s="72" t="s">
        <v>344</v>
      </c>
      <c r="D13" s="72" t="s">
        <v>345</v>
      </c>
      <c r="E13" s="72" t="s">
        <v>156</v>
      </c>
      <c r="F13" s="72" t="s">
        <v>156</v>
      </c>
      <c r="G13" s="72" t="s">
        <v>156</v>
      </c>
      <c r="H13" s="72" t="s">
        <v>156</v>
      </c>
      <c r="I13" s="72" t="str">
        <f t="shared" si="0"/>
        <v>A valid SSO SSJ Journey for Connect Fixed - NBN</v>
      </c>
      <c r="J13" s="72" t="s">
        <v>347</v>
      </c>
      <c r="K13" s="72" t="s">
        <v>346</v>
      </c>
      <c r="L13" s="72" t="s">
        <v>368</v>
      </c>
      <c r="M13" s="72" t="s">
        <v>159</v>
      </c>
      <c r="N13" s="72" t="s">
        <v>442</v>
      </c>
      <c r="O13" s="72" t="s">
        <v>159</v>
      </c>
      <c r="P13" s="72" t="s">
        <v>156</v>
      </c>
      <c r="Q13" s="72" t="s">
        <v>448</v>
      </c>
      <c r="R13" s="72" t="s">
        <v>347</v>
      </c>
      <c r="S13" s="115" t="s">
        <v>351</v>
      </c>
      <c r="T13" s="72" t="s">
        <v>449</v>
      </c>
      <c r="U13" s="72" t="s">
        <v>156</v>
      </c>
      <c r="V13" s="72" t="s">
        <v>353</v>
      </c>
      <c r="W13" s="72" t="s">
        <v>354</v>
      </c>
      <c r="X13" s="87" t="s">
        <v>355</v>
      </c>
      <c r="Y13" s="87" t="s">
        <v>156</v>
      </c>
      <c r="Z13" s="87" t="s">
        <v>157</v>
      </c>
      <c r="AA13" s="72" t="s">
        <v>356</v>
      </c>
      <c r="AB13" s="72" t="s">
        <v>156</v>
      </c>
      <c r="AC13" s="72" t="s">
        <v>357</v>
      </c>
      <c r="AD13" s="72" t="s">
        <v>156</v>
      </c>
      <c r="AE13" s="72" t="s">
        <v>156</v>
      </c>
      <c r="AF13" s="72" t="s">
        <v>156</v>
      </c>
      <c r="AG13" s="72" t="s">
        <v>156</v>
      </c>
      <c r="AH13" s="88" t="s">
        <v>156</v>
      </c>
      <c r="AI13" s="77" t="s">
        <v>376</v>
      </c>
      <c r="AJ13" s="72" t="s">
        <v>156</v>
      </c>
      <c r="AK13" s="72" t="s">
        <v>377</v>
      </c>
      <c r="AL13" s="72" t="s">
        <v>450</v>
      </c>
      <c r="AM13" s="72" t="s">
        <v>451</v>
      </c>
      <c r="AN13" s="72" t="s">
        <v>156</v>
      </c>
      <c r="AO13" s="72" t="s">
        <v>363</v>
      </c>
      <c r="AP13" s="72" t="s">
        <v>156</v>
      </c>
      <c r="AQ13" s="72" t="s">
        <v>156</v>
      </c>
      <c r="AR13" s="72" t="s">
        <v>156</v>
      </c>
      <c r="AS13" s="72" t="s">
        <v>364</v>
      </c>
      <c r="AT13" s="72" t="s">
        <v>156</v>
      </c>
      <c r="AU13" s="72" t="s">
        <v>156</v>
      </c>
      <c r="AV13" s="72" t="s">
        <v>156</v>
      </c>
      <c r="AW13" s="181"/>
      <c r="AX13" s="179"/>
      <c r="AY13" s="72">
        <v>5</v>
      </c>
    </row>
    <row r="14" spans="1:57" s="73" customFormat="1" ht="20.149999999999999" customHeight="1" x14ac:dyDescent="0.35">
      <c r="A14" s="72" t="s">
        <v>452</v>
      </c>
      <c r="B14" s="72" t="s">
        <v>157</v>
      </c>
      <c r="C14" s="72" t="s">
        <v>344</v>
      </c>
      <c r="D14" s="72" t="s">
        <v>345</v>
      </c>
      <c r="E14" s="72" t="s">
        <v>156</v>
      </c>
      <c r="F14" s="72" t="s">
        <v>156</v>
      </c>
      <c r="G14" s="72" t="s">
        <v>156</v>
      </c>
      <c r="H14" s="72" t="s">
        <v>156</v>
      </c>
      <c r="I14" s="72" t="str">
        <f t="shared" si="0"/>
        <v>A valid SSO SSJ Journey for Connect Fixed - Service Transfer</v>
      </c>
      <c r="J14" s="72" t="s">
        <v>347</v>
      </c>
      <c r="K14" s="72" t="s">
        <v>346</v>
      </c>
      <c r="L14" s="72" t="s">
        <v>368</v>
      </c>
      <c r="M14" s="72" t="s">
        <v>159</v>
      </c>
      <c r="N14" s="72" t="s">
        <v>442</v>
      </c>
      <c r="O14" s="72" t="s">
        <v>159</v>
      </c>
      <c r="P14" s="72" t="s">
        <v>156</v>
      </c>
      <c r="Q14" s="72" t="s">
        <v>346</v>
      </c>
      <c r="R14" s="72" t="s">
        <v>346</v>
      </c>
      <c r="S14" s="72" t="s">
        <v>156</v>
      </c>
      <c r="T14" s="72" t="s">
        <v>453</v>
      </c>
      <c r="U14" s="72" t="s">
        <v>156</v>
      </c>
      <c r="V14" s="77" t="s">
        <v>454</v>
      </c>
      <c r="W14" s="74" t="s">
        <v>403</v>
      </c>
      <c r="X14" s="77" t="s">
        <v>388</v>
      </c>
      <c r="Y14" s="77" t="s">
        <v>404</v>
      </c>
      <c r="Z14" s="72" t="s">
        <v>405</v>
      </c>
      <c r="AA14" s="72" t="s">
        <v>406</v>
      </c>
      <c r="AB14" s="74" t="s">
        <v>156</v>
      </c>
      <c r="AC14" s="74" t="s">
        <v>455</v>
      </c>
      <c r="AD14" s="72" t="s">
        <v>156</v>
      </c>
      <c r="AE14" s="72" t="s">
        <v>156</v>
      </c>
      <c r="AF14" s="72" t="s">
        <v>156</v>
      </c>
      <c r="AG14" s="72" t="s">
        <v>156</v>
      </c>
      <c r="AH14" s="88" t="s">
        <v>156</v>
      </c>
      <c r="AI14" s="77" t="s">
        <v>456</v>
      </c>
      <c r="AJ14" s="72" t="s">
        <v>156</v>
      </c>
      <c r="AK14" s="72" t="s">
        <v>377</v>
      </c>
      <c r="AL14" s="72" t="s">
        <v>378</v>
      </c>
      <c r="AM14" s="72" t="s">
        <v>379</v>
      </c>
      <c r="AN14" s="72" t="s">
        <v>156</v>
      </c>
      <c r="AO14" s="72" t="s">
        <v>363</v>
      </c>
      <c r="AP14" s="72" t="s">
        <v>156</v>
      </c>
      <c r="AQ14" s="72" t="s">
        <v>156</v>
      </c>
      <c r="AR14" s="72" t="s">
        <v>156</v>
      </c>
      <c r="AS14" s="72" t="s">
        <v>364</v>
      </c>
      <c r="AT14" s="72" t="s">
        <v>156</v>
      </c>
      <c r="AU14" s="72" t="s">
        <v>156</v>
      </c>
      <c r="AV14" s="72" t="s">
        <v>156</v>
      </c>
      <c r="AW14" s="181"/>
      <c r="AX14" s="179"/>
      <c r="AY14" s="72">
        <v>5</v>
      </c>
    </row>
    <row r="15" spans="1:57" s="73" customFormat="1" ht="20.149999999999999" customHeight="1" x14ac:dyDescent="0.35">
      <c r="A15" s="72" t="s">
        <v>457</v>
      </c>
      <c r="B15" s="72" t="s">
        <v>157</v>
      </c>
      <c r="C15" s="72" t="s">
        <v>400</v>
      </c>
      <c r="D15" s="72" t="s">
        <v>345</v>
      </c>
      <c r="E15" s="72" t="s">
        <v>156</v>
      </c>
      <c r="F15" s="72" t="s">
        <v>156</v>
      </c>
      <c r="G15" s="72" t="s">
        <v>156</v>
      </c>
      <c r="H15" s="72" t="s">
        <v>156</v>
      </c>
      <c r="I15" s="72" t="str">
        <f t="shared" si="0"/>
        <v>A valid SSO SSJ Journey for Connect Fixed - Internal Loss (TPG to VF)</v>
      </c>
      <c r="J15" s="72" t="s">
        <v>347</v>
      </c>
      <c r="K15" s="72" t="s">
        <v>346</v>
      </c>
      <c r="L15" s="72" t="s">
        <v>414</v>
      </c>
      <c r="M15" s="72" t="s">
        <v>159</v>
      </c>
      <c r="N15" s="72" t="s">
        <v>442</v>
      </c>
      <c r="O15" s="72" t="s">
        <v>159</v>
      </c>
      <c r="P15" s="72" t="s">
        <v>156</v>
      </c>
      <c r="Q15" s="72" t="s">
        <v>458</v>
      </c>
      <c r="R15" s="72" t="s">
        <v>347</v>
      </c>
      <c r="S15" s="115" t="s">
        <v>351</v>
      </c>
      <c r="T15" s="115" t="s">
        <v>459</v>
      </c>
      <c r="U15" s="72" t="s">
        <v>156</v>
      </c>
      <c r="V15" s="77" t="s">
        <v>386</v>
      </c>
      <c r="W15" s="72" t="s">
        <v>403</v>
      </c>
      <c r="X15" s="77" t="s">
        <v>388</v>
      </c>
      <c r="Y15" s="77" t="s">
        <v>389</v>
      </c>
      <c r="Z15" s="72" t="s">
        <v>157</v>
      </c>
      <c r="AA15" s="72" t="s">
        <v>431</v>
      </c>
      <c r="AB15" s="72" t="s">
        <v>156</v>
      </c>
      <c r="AC15" s="72" t="s">
        <v>357</v>
      </c>
      <c r="AD15" s="72" t="s">
        <v>156</v>
      </c>
      <c r="AE15" s="72" t="s">
        <v>156</v>
      </c>
      <c r="AF15" s="72" t="s">
        <v>156</v>
      </c>
      <c r="AG15" s="72" t="s">
        <v>156</v>
      </c>
      <c r="AH15" s="88" t="s">
        <v>156</v>
      </c>
      <c r="AI15" s="77" t="s">
        <v>358</v>
      </c>
      <c r="AJ15" s="72" t="s">
        <v>156</v>
      </c>
      <c r="AK15" s="72" t="s">
        <v>359</v>
      </c>
      <c r="AL15" s="72" t="s">
        <v>460</v>
      </c>
      <c r="AM15" s="72" t="s">
        <v>461</v>
      </c>
      <c r="AN15" s="72" t="s">
        <v>440</v>
      </c>
      <c r="AO15" s="72" t="s">
        <v>397</v>
      </c>
      <c r="AP15" s="72" t="s">
        <v>398</v>
      </c>
      <c r="AQ15" s="72" t="s">
        <v>446</v>
      </c>
      <c r="AR15" s="72" t="s">
        <v>398</v>
      </c>
      <c r="AS15" s="72" t="s">
        <v>364</v>
      </c>
      <c r="AT15" s="72" t="s">
        <v>156</v>
      </c>
      <c r="AU15" s="72" t="s">
        <v>156</v>
      </c>
      <c r="AV15" s="72" t="s">
        <v>156</v>
      </c>
      <c r="AW15" s="181"/>
      <c r="AX15" s="179"/>
      <c r="AY15" s="72">
        <v>6</v>
      </c>
    </row>
    <row r="16" spans="1:57" s="73" customFormat="1" ht="20.149999999999999" customHeight="1" x14ac:dyDescent="0.35">
      <c r="A16" s="72" t="s">
        <v>462</v>
      </c>
      <c r="B16" s="72" t="s">
        <v>157</v>
      </c>
      <c r="C16" s="72" t="s">
        <v>400</v>
      </c>
      <c r="D16" s="72" t="s">
        <v>345</v>
      </c>
      <c r="E16" s="72" t="s">
        <v>156</v>
      </c>
      <c r="F16" s="72" t="s">
        <v>156</v>
      </c>
      <c r="G16" s="72" t="s">
        <v>156</v>
      </c>
      <c r="H16" s="72" t="s">
        <v>156</v>
      </c>
      <c r="I16" s="72" t="str">
        <f t="shared" si="0"/>
        <v>A valid SSO SSJ Journey for Connect Fixed - NBN</v>
      </c>
      <c r="J16" s="72" t="s">
        <v>347</v>
      </c>
      <c r="K16" s="72" t="s">
        <v>346</v>
      </c>
      <c r="L16" s="72" t="s">
        <v>414</v>
      </c>
      <c r="M16" s="72" t="s">
        <v>159</v>
      </c>
      <c r="N16" s="72" t="s">
        <v>442</v>
      </c>
      <c r="O16" s="72" t="s">
        <v>159</v>
      </c>
      <c r="P16" s="72" t="s">
        <v>156</v>
      </c>
      <c r="Q16" s="72" t="s">
        <v>346</v>
      </c>
      <c r="R16" s="72" t="s">
        <v>346</v>
      </c>
      <c r="S16" s="72" t="s">
        <v>156</v>
      </c>
      <c r="T16" s="72" t="s">
        <v>453</v>
      </c>
      <c r="U16" s="72" t="s">
        <v>156</v>
      </c>
      <c r="V16" s="116" t="s">
        <v>415</v>
      </c>
      <c r="W16" s="72" t="s">
        <v>416</v>
      </c>
      <c r="X16" s="77" t="s">
        <v>371</v>
      </c>
      <c r="Y16" s="131" t="s">
        <v>417</v>
      </c>
      <c r="Z16" s="72" t="s">
        <v>157</v>
      </c>
      <c r="AA16" s="72" t="s">
        <v>356</v>
      </c>
      <c r="AB16" s="72" t="s">
        <v>156</v>
      </c>
      <c r="AC16" s="72" t="s">
        <v>373</v>
      </c>
      <c r="AD16" s="72" t="s">
        <v>156</v>
      </c>
      <c r="AE16" s="72" t="s">
        <v>156</v>
      </c>
      <c r="AF16" s="72" t="s">
        <v>156</v>
      </c>
      <c r="AG16" s="72" t="s">
        <v>156</v>
      </c>
      <c r="AH16" s="88" t="s">
        <v>156</v>
      </c>
      <c r="AI16" s="77" t="s">
        <v>358</v>
      </c>
      <c r="AJ16" s="72" t="s">
        <v>156</v>
      </c>
      <c r="AK16" s="72" t="s">
        <v>359</v>
      </c>
      <c r="AL16" s="72" t="s">
        <v>420</v>
      </c>
      <c r="AM16" s="72" t="s">
        <v>421</v>
      </c>
      <c r="AN16" s="72" t="s">
        <v>463</v>
      </c>
      <c r="AO16" s="72" t="s">
        <v>363</v>
      </c>
      <c r="AP16" s="72" t="s">
        <v>156</v>
      </c>
      <c r="AQ16" s="72" t="s">
        <v>156</v>
      </c>
      <c r="AR16" s="72" t="s">
        <v>156</v>
      </c>
      <c r="AS16" s="72" t="s">
        <v>364</v>
      </c>
      <c r="AT16" s="72" t="s">
        <v>156</v>
      </c>
      <c r="AU16" s="72" t="s">
        <v>156</v>
      </c>
      <c r="AV16" s="72" t="s">
        <v>156</v>
      </c>
      <c r="AW16" s="181"/>
      <c r="AX16" s="179"/>
      <c r="AY16" s="72">
        <v>5</v>
      </c>
    </row>
    <row r="17" spans="1:51" s="73" customFormat="1" ht="20.149999999999999" customHeight="1" x14ac:dyDescent="0.35">
      <c r="A17" s="72" t="s">
        <v>464</v>
      </c>
      <c r="B17" s="72" t="s">
        <v>168</v>
      </c>
      <c r="C17" s="72" t="s">
        <v>400</v>
      </c>
      <c r="D17" s="72" t="s">
        <v>345</v>
      </c>
      <c r="E17" s="72" t="s">
        <v>156</v>
      </c>
      <c r="F17" s="72" t="s">
        <v>156</v>
      </c>
      <c r="G17" s="72" t="s">
        <v>156</v>
      </c>
      <c r="H17" s="72" t="s">
        <v>381</v>
      </c>
      <c r="I17" s="72" t="str">
        <f t="shared" si="0"/>
        <v>A valid SSO SSJ Journey for Connect Fixed - Connect Outstanding</v>
      </c>
      <c r="J17" s="72" t="s">
        <v>347</v>
      </c>
      <c r="K17" s="72" t="s">
        <v>346</v>
      </c>
      <c r="L17" s="72" t="s">
        <v>368</v>
      </c>
      <c r="M17" s="72" t="s">
        <v>159</v>
      </c>
      <c r="N17" s="72" t="s">
        <v>442</v>
      </c>
      <c r="O17" s="72" t="s">
        <v>159</v>
      </c>
      <c r="P17" s="72" t="s">
        <v>156</v>
      </c>
      <c r="Q17" s="72" t="s">
        <v>346</v>
      </c>
      <c r="R17" s="72" t="s">
        <v>346</v>
      </c>
      <c r="S17" s="72" t="s">
        <v>156</v>
      </c>
      <c r="T17" s="72" t="s">
        <v>453</v>
      </c>
      <c r="U17" s="72" t="s">
        <v>156</v>
      </c>
      <c r="V17" s="116" t="s">
        <v>465</v>
      </c>
      <c r="W17" s="72" t="s">
        <v>403</v>
      </c>
      <c r="X17" s="77" t="s">
        <v>388</v>
      </c>
      <c r="Y17" s="131" t="s">
        <v>389</v>
      </c>
      <c r="Z17" s="72" t="s">
        <v>390</v>
      </c>
      <c r="AA17" s="72" t="s">
        <v>466</v>
      </c>
      <c r="AB17" s="72" t="s">
        <v>156</v>
      </c>
      <c r="AC17" s="72" t="s">
        <v>357</v>
      </c>
      <c r="AD17" s="72" t="s">
        <v>156</v>
      </c>
      <c r="AE17" s="72" t="s">
        <v>156</v>
      </c>
      <c r="AF17" s="72" t="s">
        <v>156</v>
      </c>
      <c r="AG17" s="72" t="s">
        <v>156</v>
      </c>
      <c r="AH17" s="88" t="s">
        <v>156</v>
      </c>
      <c r="AI17" s="77" t="s">
        <v>376</v>
      </c>
      <c r="AJ17" s="72" t="s">
        <v>156</v>
      </c>
      <c r="AK17" s="72" t="s">
        <v>377</v>
      </c>
      <c r="AL17" s="72" t="s">
        <v>467</v>
      </c>
      <c r="AM17" s="72" t="s">
        <v>468</v>
      </c>
      <c r="AN17" s="72" t="s">
        <v>156</v>
      </c>
      <c r="AO17" s="72" t="s">
        <v>363</v>
      </c>
      <c r="AP17" s="72" t="s">
        <v>156</v>
      </c>
      <c r="AQ17" s="72" t="s">
        <v>156</v>
      </c>
      <c r="AR17" s="72" t="s">
        <v>156</v>
      </c>
      <c r="AS17" s="72" t="s">
        <v>337</v>
      </c>
      <c r="AT17" s="72" t="s">
        <v>156</v>
      </c>
      <c r="AU17" s="72" t="s">
        <v>156</v>
      </c>
      <c r="AV17" s="72" t="s">
        <v>156</v>
      </c>
      <c r="AW17" s="181"/>
      <c r="AX17" s="179"/>
      <c r="AY17" s="72">
        <v>5</v>
      </c>
    </row>
    <row r="18" spans="1:51" s="73" customFormat="1" ht="20.149999999999999" customHeight="1" x14ac:dyDescent="0.35">
      <c r="A18" s="72" t="s">
        <v>469</v>
      </c>
      <c r="B18" s="72" t="s">
        <v>157</v>
      </c>
      <c r="C18" s="72" t="s">
        <v>400</v>
      </c>
      <c r="D18" s="72" t="s">
        <v>345</v>
      </c>
      <c r="E18" s="72" t="s">
        <v>156</v>
      </c>
      <c r="F18" s="72" t="s">
        <v>156</v>
      </c>
      <c r="G18" s="72" t="s">
        <v>156</v>
      </c>
      <c r="H18" s="72" t="s">
        <v>156</v>
      </c>
      <c r="I18" s="72" t="str">
        <f t="shared" si="0"/>
        <v>A valid SSO SSJ Journey for Connect Fixed - Internal Loss (Kogan to VF)</v>
      </c>
      <c r="J18" s="72" t="s">
        <v>347</v>
      </c>
      <c r="K18" s="72" t="s">
        <v>346</v>
      </c>
      <c r="L18" s="72" t="s">
        <v>368</v>
      </c>
      <c r="M18" s="72" t="s">
        <v>159</v>
      </c>
      <c r="N18" s="72" t="s">
        <v>442</v>
      </c>
      <c r="O18" s="72" t="s">
        <v>159</v>
      </c>
      <c r="P18" s="72" t="s">
        <v>156</v>
      </c>
      <c r="Q18" s="72" t="s">
        <v>346</v>
      </c>
      <c r="R18" s="72" t="s">
        <v>346</v>
      </c>
      <c r="S18" s="72" t="s">
        <v>156</v>
      </c>
      <c r="T18" s="72" t="s">
        <v>453</v>
      </c>
      <c r="U18" s="72" t="s">
        <v>156</v>
      </c>
      <c r="V18" s="116" t="s">
        <v>465</v>
      </c>
      <c r="W18" s="72" t="s">
        <v>403</v>
      </c>
      <c r="X18" s="77" t="s">
        <v>388</v>
      </c>
      <c r="Y18" s="116" t="s">
        <v>430</v>
      </c>
      <c r="Z18" s="72" t="s">
        <v>157</v>
      </c>
      <c r="AA18" s="72" t="s">
        <v>412</v>
      </c>
      <c r="AB18" s="72" t="s">
        <v>156</v>
      </c>
      <c r="AC18" s="72" t="s">
        <v>357</v>
      </c>
      <c r="AD18" s="72" t="s">
        <v>156</v>
      </c>
      <c r="AE18" s="72" t="s">
        <v>156</v>
      </c>
      <c r="AF18" s="72" t="s">
        <v>156</v>
      </c>
      <c r="AG18" s="72" t="s">
        <v>156</v>
      </c>
      <c r="AH18" s="88" t="s">
        <v>156</v>
      </c>
      <c r="AI18" s="77" t="s">
        <v>376</v>
      </c>
      <c r="AJ18" s="72" t="s">
        <v>156</v>
      </c>
      <c r="AK18" s="72" t="s">
        <v>377</v>
      </c>
      <c r="AL18" s="72" t="s">
        <v>395</v>
      </c>
      <c r="AM18" s="72" t="s">
        <v>373</v>
      </c>
      <c r="AN18" s="72" t="s">
        <v>156</v>
      </c>
      <c r="AO18" s="72" t="s">
        <v>363</v>
      </c>
      <c r="AP18" s="72" t="s">
        <v>156</v>
      </c>
      <c r="AQ18" s="72" t="s">
        <v>156</v>
      </c>
      <c r="AR18" s="72" t="s">
        <v>156</v>
      </c>
      <c r="AS18" s="72" t="s">
        <v>364</v>
      </c>
      <c r="AT18" s="72" t="s">
        <v>156</v>
      </c>
      <c r="AU18" s="72" t="s">
        <v>156</v>
      </c>
      <c r="AV18" s="72" t="s">
        <v>156</v>
      </c>
      <c r="AW18" s="181"/>
      <c r="AX18" s="179"/>
      <c r="AY18" s="72">
        <v>5</v>
      </c>
    </row>
    <row r="19" spans="1:51" s="73" customFormat="1" ht="20.149999999999999" customHeight="1" x14ac:dyDescent="0.35">
      <c r="A19" s="72" t="s">
        <v>470</v>
      </c>
      <c r="B19" s="72" t="s">
        <v>157</v>
      </c>
      <c r="C19" s="72" t="s">
        <v>400</v>
      </c>
      <c r="D19" s="72" t="s">
        <v>345</v>
      </c>
      <c r="E19" s="72" t="s">
        <v>156</v>
      </c>
      <c r="F19" s="72" t="s">
        <v>156</v>
      </c>
      <c r="G19" s="72" t="s">
        <v>156</v>
      </c>
      <c r="H19" s="72" t="s">
        <v>156</v>
      </c>
      <c r="I19" s="72" t="str">
        <f t="shared" si="0"/>
        <v>A valid SSO SSJ Journey for Connect Fixed - Service Transfer Reversal</v>
      </c>
      <c r="J19" s="72" t="s">
        <v>347</v>
      </c>
      <c r="K19" s="72" t="s">
        <v>346</v>
      </c>
      <c r="L19" s="72" t="s">
        <v>368</v>
      </c>
      <c r="M19" s="72" t="s">
        <v>159</v>
      </c>
      <c r="N19" s="72" t="s">
        <v>442</v>
      </c>
      <c r="O19" s="72" t="s">
        <v>159</v>
      </c>
      <c r="P19" s="72" t="s">
        <v>156</v>
      </c>
      <c r="Q19" s="72" t="s">
        <v>346</v>
      </c>
      <c r="R19" s="72" t="s">
        <v>346</v>
      </c>
      <c r="S19" s="72" t="s">
        <v>156</v>
      </c>
      <c r="T19" s="72" t="s">
        <v>453</v>
      </c>
      <c r="U19" s="72" t="s">
        <v>156</v>
      </c>
      <c r="V19" s="116" t="s">
        <v>465</v>
      </c>
      <c r="W19" s="72" t="s">
        <v>403</v>
      </c>
      <c r="X19" s="77" t="s">
        <v>388</v>
      </c>
      <c r="Y19" s="116" t="s">
        <v>430</v>
      </c>
      <c r="Z19" s="72" t="s">
        <v>436</v>
      </c>
      <c r="AA19" s="72" t="s">
        <v>437</v>
      </c>
      <c r="AB19" s="72" t="s">
        <v>156</v>
      </c>
      <c r="AC19" s="72" t="s">
        <v>357</v>
      </c>
      <c r="AD19" s="72" t="s">
        <v>156</v>
      </c>
      <c r="AE19" s="72" t="s">
        <v>156</v>
      </c>
      <c r="AF19" s="72" t="s">
        <v>156</v>
      </c>
      <c r="AG19" s="72" t="s">
        <v>156</v>
      </c>
      <c r="AH19" s="88" t="s">
        <v>156</v>
      </c>
      <c r="AI19" s="77" t="s">
        <v>376</v>
      </c>
      <c r="AJ19" s="72" t="s">
        <v>156</v>
      </c>
      <c r="AK19" s="72" t="s">
        <v>377</v>
      </c>
      <c r="AL19" s="72" t="s">
        <v>445</v>
      </c>
      <c r="AM19" s="72" t="s">
        <v>361</v>
      </c>
      <c r="AN19" s="72" t="s">
        <v>156</v>
      </c>
      <c r="AO19" s="72" t="s">
        <v>363</v>
      </c>
      <c r="AP19" s="72" t="s">
        <v>156</v>
      </c>
      <c r="AQ19" s="72" t="s">
        <v>156</v>
      </c>
      <c r="AR19" s="72" t="s">
        <v>156</v>
      </c>
      <c r="AS19" s="72" t="s">
        <v>364</v>
      </c>
      <c r="AT19" s="72" t="s">
        <v>156</v>
      </c>
      <c r="AU19" s="72" t="s">
        <v>156</v>
      </c>
      <c r="AV19" s="72" t="s">
        <v>156</v>
      </c>
      <c r="AW19" s="181"/>
      <c r="AX19" s="179"/>
      <c r="AY19" s="72">
        <v>5</v>
      </c>
    </row>
    <row r="20" spans="1:51" s="76" customFormat="1" ht="37.5" customHeight="1" x14ac:dyDescent="0.35">
      <c r="A20" s="75" t="s">
        <v>471</v>
      </c>
      <c r="B20" s="75" t="s">
        <v>157</v>
      </c>
      <c r="C20" s="75" t="s">
        <v>400</v>
      </c>
      <c r="D20" s="75" t="s">
        <v>345</v>
      </c>
      <c r="E20" s="75" t="s">
        <v>156</v>
      </c>
      <c r="F20" s="75" t="s">
        <v>156</v>
      </c>
      <c r="G20" s="75" t="s">
        <v>156</v>
      </c>
      <c r="H20" s="75" t="s">
        <v>156</v>
      </c>
      <c r="I20" s="75" t="str">
        <f t="shared" si="0"/>
        <v>A valid SSO SSJ Journey for Connect Fixed - NBN</v>
      </c>
      <c r="J20" s="75" t="s">
        <v>346</v>
      </c>
      <c r="K20" s="75" t="s">
        <v>347</v>
      </c>
      <c r="L20" s="75" t="s">
        <v>348</v>
      </c>
      <c r="M20" s="75" t="s">
        <v>159</v>
      </c>
      <c r="N20" s="75" t="s">
        <v>472</v>
      </c>
      <c r="O20" s="75" t="s">
        <v>159</v>
      </c>
      <c r="P20" s="75" t="s">
        <v>156</v>
      </c>
      <c r="Q20" s="75" t="s">
        <v>346</v>
      </c>
      <c r="R20" s="75" t="s">
        <v>346</v>
      </c>
      <c r="S20" s="75" t="s">
        <v>156</v>
      </c>
      <c r="T20" s="75" t="s">
        <v>473</v>
      </c>
      <c r="U20" s="86" t="s">
        <v>474</v>
      </c>
      <c r="V20" s="86" t="s">
        <v>475</v>
      </c>
      <c r="W20" s="75" t="s">
        <v>476</v>
      </c>
      <c r="X20" s="86" t="s">
        <v>477</v>
      </c>
      <c r="Y20" s="86" t="s">
        <v>372</v>
      </c>
      <c r="Z20" s="75" t="s">
        <v>157</v>
      </c>
      <c r="AA20" s="75" t="s">
        <v>356</v>
      </c>
      <c r="AB20" s="75" t="s">
        <v>156</v>
      </c>
      <c r="AC20" s="75" t="s">
        <v>478</v>
      </c>
      <c r="AD20" s="75" t="s">
        <v>156</v>
      </c>
      <c r="AE20" s="75" t="s">
        <v>156</v>
      </c>
      <c r="AF20" s="75" t="s">
        <v>156</v>
      </c>
      <c r="AG20" s="75" t="s">
        <v>156</v>
      </c>
      <c r="AH20" s="75" t="s">
        <v>156</v>
      </c>
      <c r="AI20" s="86" t="s">
        <v>479</v>
      </c>
      <c r="AJ20" s="86" t="s">
        <v>480</v>
      </c>
      <c r="AK20" s="75" t="s">
        <v>359</v>
      </c>
      <c r="AL20" s="75" t="s">
        <v>481</v>
      </c>
      <c r="AM20" s="75" t="s">
        <v>482</v>
      </c>
      <c r="AN20" s="75" t="s">
        <v>483</v>
      </c>
      <c r="AO20" s="75" t="s">
        <v>397</v>
      </c>
      <c r="AP20" s="75" t="s">
        <v>398</v>
      </c>
      <c r="AQ20" s="75" t="s">
        <v>156</v>
      </c>
      <c r="AR20" s="75" t="s">
        <v>156</v>
      </c>
      <c r="AS20" s="75" t="s">
        <v>364</v>
      </c>
      <c r="AT20" s="75" t="s">
        <v>156</v>
      </c>
      <c r="AU20" s="75" t="s">
        <v>156</v>
      </c>
      <c r="AV20" s="75" t="s">
        <v>156</v>
      </c>
      <c r="AW20" s="181"/>
      <c r="AX20" s="179"/>
      <c r="AY20" s="75">
        <v>6</v>
      </c>
    </row>
    <row r="21" spans="1:51" s="76" customFormat="1" ht="20.149999999999999" customHeight="1" x14ac:dyDescent="0.35">
      <c r="A21" s="75" t="s">
        <v>484</v>
      </c>
      <c r="B21" s="75" t="s">
        <v>157</v>
      </c>
      <c r="C21" s="75" t="s">
        <v>400</v>
      </c>
      <c r="D21" s="75" t="s">
        <v>345</v>
      </c>
      <c r="E21" s="75" t="s">
        <v>156</v>
      </c>
      <c r="F21" s="75" t="s">
        <v>156</v>
      </c>
      <c r="G21" s="75" t="s">
        <v>156</v>
      </c>
      <c r="H21" s="75" t="s">
        <v>156</v>
      </c>
      <c r="I21" s="75" t="str">
        <f t="shared" si="0"/>
        <v>A valid SSO SSJ Journey for Connect Fixed - Connect Outstanding  Transition</v>
      </c>
      <c r="J21" s="75" t="s">
        <v>346</v>
      </c>
      <c r="K21" s="75" t="s">
        <v>347</v>
      </c>
      <c r="L21" s="75" t="s">
        <v>368</v>
      </c>
      <c r="M21" s="75" t="s">
        <v>159</v>
      </c>
      <c r="N21" s="75" t="s">
        <v>472</v>
      </c>
      <c r="O21" s="75" t="s">
        <v>159</v>
      </c>
      <c r="P21" s="75" t="s">
        <v>156</v>
      </c>
      <c r="Q21" s="115" t="s">
        <v>485</v>
      </c>
      <c r="R21" s="115" t="s">
        <v>347</v>
      </c>
      <c r="S21" s="115" t="s">
        <v>351</v>
      </c>
      <c r="T21" s="75" t="s">
        <v>486</v>
      </c>
      <c r="U21" s="75" t="s">
        <v>487</v>
      </c>
      <c r="V21" s="75" t="s">
        <v>156</v>
      </c>
      <c r="W21" s="75" t="s">
        <v>476</v>
      </c>
      <c r="X21" s="75" t="s">
        <v>488</v>
      </c>
      <c r="Y21" s="75" t="s">
        <v>489</v>
      </c>
      <c r="Z21" s="75" t="s">
        <v>390</v>
      </c>
      <c r="AA21" s="75" t="s">
        <v>490</v>
      </c>
      <c r="AB21" s="75" t="s">
        <v>156</v>
      </c>
      <c r="AC21" s="75" t="s">
        <v>478</v>
      </c>
      <c r="AD21" s="75" t="s">
        <v>156</v>
      </c>
      <c r="AE21" s="75" t="s">
        <v>156</v>
      </c>
      <c r="AF21" s="75" t="s">
        <v>156</v>
      </c>
      <c r="AG21" s="75" t="s">
        <v>156</v>
      </c>
      <c r="AH21" s="75" t="s">
        <v>156</v>
      </c>
      <c r="AI21" s="86" t="s">
        <v>491</v>
      </c>
      <c r="AJ21" s="86" t="s">
        <v>492</v>
      </c>
      <c r="AK21" s="75" t="s">
        <v>377</v>
      </c>
      <c r="AL21" s="75" t="s">
        <v>450</v>
      </c>
      <c r="AM21" s="75" t="s">
        <v>451</v>
      </c>
      <c r="AN21" s="75" t="s">
        <v>156</v>
      </c>
      <c r="AO21" s="75" t="s">
        <v>363</v>
      </c>
      <c r="AP21" s="75" t="s">
        <v>156</v>
      </c>
      <c r="AQ21" s="75" t="s">
        <v>156</v>
      </c>
      <c r="AR21" s="75" t="s">
        <v>156</v>
      </c>
      <c r="AS21" s="75" t="s">
        <v>364</v>
      </c>
      <c r="AT21" s="75" t="s">
        <v>156</v>
      </c>
      <c r="AU21" s="75" t="s">
        <v>156</v>
      </c>
      <c r="AV21" s="75" t="s">
        <v>156</v>
      </c>
      <c r="AW21" s="181"/>
      <c r="AX21" s="179"/>
      <c r="AY21" s="75">
        <v>5</v>
      </c>
    </row>
    <row r="22" spans="1:51" s="76" customFormat="1" ht="20.149999999999999" customHeight="1" x14ac:dyDescent="0.35">
      <c r="A22" s="75" t="s">
        <v>493</v>
      </c>
      <c r="B22" s="75" t="s">
        <v>157</v>
      </c>
      <c r="C22" s="75" t="s">
        <v>400</v>
      </c>
      <c r="D22" s="75" t="s">
        <v>345</v>
      </c>
      <c r="E22" s="75" t="s">
        <v>156</v>
      </c>
      <c r="F22" s="75" t="s">
        <v>156</v>
      </c>
      <c r="G22" s="75" t="s">
        <v>156</v>
      </c>
      <c r="H22" s="75" t="s">
        <v>156</v>
      </c>
      <c r="I22" s="75" t="str">
        <f t="shared" si="0"/>
        <v>A valid SSO SSJ Journey for Connect Fixed - Service Transition</v>
      </c>
      <c r="J22" s="75" t="s">
        <v>346</v>
      </c>
      <c r="K22" s="75" t="s">
        <v>347</v>
      </c>
      <c r="L22" s="75" t="s">
        <v>368</v>
      </c>
      <c r="M22" s="75" t="s">
        <v>383</v>
      </c>
      <c r="N22" s="75" t="s">
        <v>472</v>
      </c>
      <c r="O22" s="75" t="s">
        <v>384</v>
      </c>
      <c r="P22" s="75" t="s">
        <v>385</v>
      </c>
      <c r="Q22" s="75" t="s">
        <v>346</v>
      </c>
      <c r="R22" s="75" t="s">
        <v>346</v>
      </c>
      <c r="S22" s="75" t="s">
        <v>156</v>
      </c>
      <c r="T22" s="75" t="s">
        <v>473</v>
      </c>
      <c r="U22" s="75" t="s">
        <v>487</v>
      </c>
      <c r="V22" s="75" t="s">
        <v>156</v>
      </c>
      <c r="W22" s="75" t="s">
        <v>476</v>
      </c>
      <c r="X22" s="75" t="s">
        <v>488</v>
      </c>
      <c r="Y22" s="75" t="s">
        <v>489</v>
      </c>
      <c r="Z22" s="75" t="s">
        <v>405</v>
      </c>
      <c r="AA22" s="75" t="s">
        <v>494</v>
      </c>
      <c r="AB22" s="75" t="s">
        <v>156</v>
      </c>
      <c r="AC22" s="75" t="s">
        <v>478</v>
      </c>
      <c r="AD22" s="75" t="s">
        <v>156</v>
      </c>
      <c r="AE22" s="75" t="s">
        <v>156</v>
      </c>
      <c r="AF22" s="75" t="s">
        <v>156</v>
      </c>
      <c r="AG22" s="75" t="s">
        <v>156</v>
      </c>
      <c r="AH22" s="75" t="s">
        <v>156</v>
      </c>
      <c r="AI22" s="86" t="s">
        <v>491</v>
      </c>
      <c r="AJ22" s="86" t="s">
        <v>492</v>
      </c>
      <c r="AK22" s="75" t="s">
        <v>377</v>
      </c>
      <c r="AL22" s="75" t="s">
        <v>450</v>
      </c>
      <c r="AM22" s="75" t="s">
        <v>451</v>
      </c>
      <c r="AN22" s="116" t="s">
        <v>495</v>
      </c>
      <c r="AO22" s="75" t="s">
        <v>397</v>
      </c>
      <c r="AP22" s="75" t="s">
        <v>398</v>
      </c>
      <c r="AQ22" s="75" t="s">
        <v>446</v>
      </c>
      <c r="AR22" s="75" t="s">
        <v>398</v>
      </c>
      <c r="AS22" s="75" t="s">
        <v>364</v>
      </c>
      <c r="AT22" s="75" t="s">
        <v>156</v>
      </c>
      <c r="AU22" s="75" t="s">
        <v>156</v>
      </c>
      <c r="AV22" s="75" t="s">
        <v>156</v>
      </c>
      <c r="AW22" s="181"/>
      <c r="AX22" s="179"/>
      <c r="AY22" s="75">
        <v>6</v>
      </c>
    </row>
    <row r="23" spans="1:51" s="76" customFormat="1" ht="20.149999999999999" customHeight="1" x14ac:dyDescent="0.35">
      <c r="A23" s="75" t="s">
        <v>496</v>
      </c>
      <c r="B23" s="75" t="s">
        <v>157</v>
      </c>
      <c r="C23" s="75" t="s">
        <v>400</v>
      </c>
      <c r="D23" s="75" t="s">
        <v>345</v>
      </c>
      <c r="E23" s="75" t="s">
        <v>156</v>
      </c>
      <c r="F23" s="75" t="s">
        <v>156</v>
      </c>
      <c r="G23" s="75" t="s">
        <v>156</v>
      </c>
      <c r="H23" s="75" t="s">
        <v>156</v>
      </c>
      <c r="I23" s="75" t="str">
        <f t="shared" si="0"/>
        <v>A valid SSO SSJ Journey for Connect Fixed - Service Transition</v>
      </c>
      <c r="J23" s="75" t="s">
        <v>346</v>
      </c>
      <c r="K23" s="75" t="s">
        <v>347</v>
      </c>
      <c r="L23" s="75" t="s">
        <v>497</v>
      </c>
      <c r="M23" s="75" t="s">
        <v>159</v>
      </c>
      <c r="N23" s="75" t="s">
        <v>472</v>
      </c>
      <c r="O23" s="75" t="s">
        <v>159</v>
      </c>
      <c r="P23" s="75" t="s">
        <v>156</v>
      </c>
      <c r="Q23" s="115" t="s">
        <v>443</v>
      </c>
      <c r="R23" s="115" t="s">
        <v>347</v>
      </c>
      <c r="S23" s="115" t="s">
        <v>351</v>
      </c>
      <c r="T23" s="86" t="s">
        <v>498</v>
      </c>
      <c r="U23" s="86" t="s">
        <v>499</v>
      </c>
      <c r="V23" s="86" t="s">
        <v>500</v>
      </c>
      <c r="W23" s="75" t="s">
        <v>476</v>
      </c>
      <c r="X23" s="86" t="s">
        <v>488</v>
      </c>
      <c r="Y23" s="86" t="s">
        <v>501</v>
      </c>
      <c r="Z23" s="86" t="s">
        <v>405</v>
      </c>
      <c r="AA23" s="75" t="s">
        <v>494</v>
      </c>
      <c r="AB23" s="75" t="s">
        <v>156</v>
      </c>
      <c r="AC23" s="75" t="s">
        <v>502</v>
      </c>
      <c r="AD23" s="75" t="s">
        <v>156</v>
      </c>
      <c r="AE23" s="75" t="s">
        <v>156</v>
      </c>
      <c r="AF23" s="75" t="s">
        <v>156</v>
      </c>
      <c r="AG23" s="75" t="s">
        <v>156</v>
      </c>
      <c r="AH23" s="75" t="s">
        <v>156</v>
      </c>
      <c r="AI23" s="86" t="s">
        <v>479</v>
      </c>
      <c r="AJ23" s="86" t="s">
        <v>480</v>
      </c>
      <c r="AK23" s="75" t="s">
        <v>359</v>
      </c>
      <c r="AL23" s="75" t="s">
        <v>481</v>
      </c>
      <c r="AM23" s="75" t="s">
        <v>482</v>
      </c>
      <c r="AN23" s="75" t="s">
        <v>503</v>
      </c>
      <c r="AO23" s="75" t="s">
        <v>397</v>
      </c>
      <c r="AP23" s="75" t="s">
        <v>398</v>
      </c>
      <c r="AQ23" s="75" t="s">
        <v>446</v>
      </c>
      <c r="AR23" s="75" t="s">
        <v>424</v>
      </c>
      <c r="AS23" s="75" t="s">
        <v>364</v>
      </c>
      <c r="AT23" s="75" t="s">
        <v>425</v>
      </c>
      <c r="AU23" s="75" t="s">
        <v>504</v>
      </c>
      <c r="AV23" s="75" t="s">
        <v>427</v>
      </c>
      <c r="AW23" s="181"/>
      <c r="AX23" s="179"/>
      <c r="AY23" s="75">
        <v>5</v>
      </c>
    </row>
    <row r="24" spans="1:51" s="76" customFormat="1" ht="20.149999999999999" customHeight="1" x14ac:dyDescent="0.35">
      <c r="A24" s="75" t="s">
        <v>505</v>
      </c>
      <c r="B24" s="75" t="s">
        <v>168</v>
      </c>
      <c r="C24" s="75" t="s">
        <v>400</v>
      </c>
      <c r="D24" s="75" t="s">
        <v>345</v>
      </c>
      <c r="E24" s="75" t="s">
        <v>381</v>
      </c>
      <c r="F24" s="75" t="s">
        <v>156</v>
      </c>
      <c r="G24" s="75" t="s">
        <v>156</v>
      </c>
      <c r="H24" s="75" t="s">
        <v>156</v>
      </c>
      <c r="I24" s="75" t="str">
        <f t="shared" si="0"/>
        <v>A valid SSO SSJ Journey for Connect Fixed - NBN</v>
      </c>
      <c r="J24" s="75" t="s">
        <v>346</v>
      </c>
      <c r="K24" s="75" t="s">
        <v>347</v>
      </c>
      <c r="L24" s="75" t="s">
        <v>368</v>
      </c>
      <c r="M24" s="75" t="s">
        <v>159</v>
      </c>
      <c r="N24" s="75" t="s">
        <v>472</v>
      </c>
      <c r="O24" s="75" t="s">
        <v>159</v>
      </c>
      <c r="P24" s="75" t="s">
        <v>156</v>
      </c>
      <c r="Q24" s="115" t="s">
        <v>448</v>
      </c>
      <c r="R24" s="115" t="s">
        <v>347</v>
      </c>
      <c r="S24" s="115" t="s">
        <v>351</v>
      </c>
      <c r="T24" s="86" t="s">
        <v>506</v>
      </c>
      <c r="U24" s="86" t="s">
        <v>507</v>
      </c>
      <c r="V24" s="86" t="s">
        <v>156</v>
      </c>
      <c r="W24" s="75" t="s">
        <v>354</v>
      </c>
      <c r="X24" s="86" t="s">
        <v>156</v>
      </c>
      <c r="Y24" s="86" t="s">
        <v>157</v>
      </c>
      <c r="Z24" s="86" t="s">
        <v>157</v>
      </c>
      <c r="AA24" s="75" t="s">
        <v>356</v>
      </c>
      <c r="AB24" s="75" t="s">
        <v>156</v>
      </c>
      <c r="AC24" s="75" t="s">
        <v>502</v>
      </c>
      <c r="AD24" s="75" t="s">
        <v>156</v>
      </c>
      <c r="AE24" s="75" t="s">
        <v>156</v>
      </c>
      <c r="AF24" s="75" t="s">
        <v>156</v>
      </c>
      <c r="AG24" s="75" t="s">
        <v>156</v>
      </c>
      <c r="AH24" s="75" t="s">
        <v>156</v>
      </c>
      <c r="AI24" s="86" t="s">
        <v>491</v>
      </c>
      <c r="AJ24" s="86" t="s">
        <v>492</v>
      </c>
      <c r="AK24" s="75" t="s">
        <v>377</v>
      </c>
      <c r="AL24" s="75" t="s">
        <v>450</v>
      </c>
      <c r="AM24" s="75" t="s">
        <v>451</v>
      </c>
      <c r="AN24" s="75" t="s">
        <v>156</v>
      </c>
      <c r="AO24" s="75" t="s">
        <v>363</v>
      </c>
      <c r="AP24" s="75" t="s">
        <v>156</v>
      </c>
      <c r="AQ24" s="75" t="s">
        <v>156</v>
      </c>
      <c r="AR24" s="75" t="s">
        <v>156</v>
      </c>
      <c r="AS24" s="75" t="s">
        <v>337</v>
      </c>
      <c r="AT24" s="75" t="s">
        <v>156</v>
      </c>
      <c r="AU24" s="75" t="s">
        <v>156</v>
      </c>
      <c r="AV24" s="75" t="s">
        <v>156</v>
      </c>
      <c r="AW24" s="181"/>
      <c r="AX24" s="179"/>
      <c r="AY24" s="75">
        <v>5</v>
      </c>
    </row>
    <row r="25" spans="1:51" s="76" customFormat="1" ht="20.149999999999999" customHeight="1" x14ac:dyDescent="0.35">
      <c r="A25" s="75" t="s">
        <v>508</v>
      </c>
      <c r="B25" s="75" t="s">
        <v>157</v>
      </c>
      <c r="C25" s="75" t="s">
        <v>400</v>
      </c>
      <c r="D25" s="75" t="s">
        <v>345</v>
      </c>
      <c r="E25" s="75" t="s">
        <v>156</v>
      </c>
      <c r="F25" s="75" t="s">
        <v>156</v>
      </c>
      <c r="G25" s="75" t="s">
        <v>156</v>
      </c>
      <c r="H25" s="75" t="s">
        <v>156</v>
      </c>
      <c r="I25" s="75" t="str">
        <f t="shared" si="0"/>
        <v>A valid SSO SSJ Journey for Connect Fixed - Service Transfer</v>
      </c>
      <c r="J25" s="75" t="s">
        <v>346</v>
      </c>
      <c r="K25" s="75" t="s">
        <v>347</v>
      </c>
      <c r="L25" s="75" t="s">
        <v>368</v>
      </c>
      <c r="M25" s="75" t="s">
        <v>159</v>
      </c>
      <c r="N25" s="75" t="s">
        <v>472</v>
      </c>
      <c r="O25" s="75" t="s">
        <v>159</v>
      </c>
      <c r="P25" s="75" t="s">
        <v>156</v>
      </c>
      <c r="Q25" s="75" t="s">
        <v>346</v>
      </c>
      <c r="R25" s="75" t="s">
        <v>346</v>
      </c>
      <c r="S25" s="75" t="s">
        <v>156</v>
      </c>
      <c r="T25" s="86" t="s">
        <v>498</v>
      </c>
      <c r="U25" s="86" t="s">
        <v>499</v>
      </c>
      <c r="V25" s="86" t="s">
        <v>509</v>
      </c>
      <c r="W25" s="75" t="s">
        <v>403</v>
      </c>
      <c r="X25" s="86" t="s">
        <v>510</v>
      </c>
      <c r="Y25" s="86" t="s">
        <v>511</v>
      </c>
      <c r="Z25" s="75" t="s">
        <v>405</v>
      </c>
      <c r="AA25" s="75" t="s">
        <v>406</v>
      </c>
      <c r="AB25" s="75" t="s">
        <v>156</v>
      </c>
      <c r="AC25" s="75" t="s">
        <v>502</v>
      </c>
      <c r="AD25" s="75" t="s">
        <v>156</v>
      </c>
      <c r="AE25" s="75" t="s">
        <v>156</v>
      </c>
      <c r="AF25" s="75" t="s">
        <v>156</v>
      </c>
      <c r="AG25" s="75" t="s">
        <v>156</v>
      </c>
      <c r="AH25" s="75" t="s">
        <v>156</v>
      </c>
      <c r="AI25" s="86" t="s">
        <v>491</v>
      </c>
      <c r="AJ25" s="86" t="s">
        <v>492</v>
      </c>
      <c r="AK25" s="75" t="s">
        <v>377</v>
      </c>
      <c r="AL25" s="75" t="s">
        <v>450</v>
      </c>
      <c r="AM25" s="75" t="s">
        <v>451</v>
      </c>
      <c r="AN25" s="75" t="s">
        <v>156</v>
      </c>
      <c r="AO25" s="75" t="s">
        <v>363</v>
      </c>
      <c r="AP25" s="75" t="s">
        <v>156</v>
      </c>
      <c r="AQ25" s="75" t="s">
        <v>156</v>
      </c>
      <c r="AR25" s="75" t="s">
        <v>156</v>
      </c>
      <c r="AS25" s="75" t="s">
        <v>364</v>
      </c>
      <c r="AT25" s="75" t="s">
        <v>156</v>
      </c>
      <c r="AU25" s="75" t="s">
        <v>156</v>
      </c>
      <c r="AV25" s="75" t="s">
        <v>156</v>
      </c>
      <c r="AW25" s="181"/>
      <c r="AX25" s="179"/>
      <c r="AY25" s="75">
        <v>5</v>
      </c>
    </row>
    <row r="26" spans="1:51" s="76" customFormat="1" ht="44.15" customHeight="1" x14ac:dyDescent="0.35">
      <c r="A26" s="75" t="s">
        <v>512</v>
      </c>
      <c r="B26" s="75" t="s">
        <v>157</v>
      </c>
      <c r="C26" s="75" t="s">
        <v>400</v>
      </c>
      <c r="D26" s="75" t="s">
        <v>345</v>
      </c>
      <c r="E26" s="75" t="s">
        <v>156</v>
      </c>
      <c r="F26" s="75" t="s">
        <v>156</v>
      </c>
      <c r="G26" s="75" t="s">
        <v>156</v>
      </c>
      <c r="H26" s="75" t="s">
        <v>156</v>
      </c>
      <c r="I26" s="75" t="str">
        <f t="shared" si="0"/>
        <v>A valid SSO SSJ Journey for Connect Fixed -Connect Outstanding</v>
      </c>
      <c r="J26" s="75" t="s">
        <v>347</v>
      </c>
      <c r="K26" s="75" t="s">
        <v>346</v>
      </c>
      <c r="L26" s="75" t="s">
        <v>368</v>
      </c>
      <c r="M26" s="75" t="s">
        <v>159</v>
      </c>
      <c r="N26" s="75" t="s">
        <v>472</v>
      </c>
      <c r="O26" s="75" t="s">
        <v>159</v>
      </c>
      <c r="P26" s="75" t="s">
        <v>156</v>
      </c>
      <c r="Q26" s="75" t="s">
        <v>346</v>
      </c>
      <c r="R26" s="75" t="s">
        <v>346</v>
      </c>
      <c r="S26" s="75" t="s">
        <v>156</v>
      </c>
      <c r="T26" s="86" t="s">
        <v>513</v>
      </c>
      <c r="U26" s="86" t="s">
        <v>514</v>
      </c>
      <c r="V26" s="86" t="s">
        <v>515</v>
      </c>
      <c r="W26" s="75" t="s">
        <v>403</v>
      </c>
      <c r="X26" s="86" t="s">
        <v>510</v>
      </c>
      <c r="Y26" s="86" t="s">
        <v>516</v>
      </c>
      <c r="Z26" s="86" t="s">
        <v>390</v>
      </c>
      <c r="AA26" s="75" t="s">
        <v>391</v>
      </c>
      <c r="AB26" s="75" t="s">
        <v>156</v>
      </c>
      <c r="AC26" s="75" t="s">
        <v>502</v>
      </c>
      <c r="AD26" s="75" t="s">
        <v>156</v>
      </c>
      <c r="AE26" s="75" t="s">
        <v>156</v>
      </c>
      <c r="AF26" s="75" t="s">
        <v>156</v>
      </c>
      <c r="AG26" s="75" t="s">
        <v>156</v>
      </c>
      <c r="AH26" s="75" t="s">
        <v>156</v>
      </c>
      <c r="AI26" s="86" t="s">
        <v>491</v>
      </c>
      <c r="AJ26" s="86" t="s">
        <v>492</v>
      </c>
      <c r="AK26" s="75" t="s">
        <v>377</v>
      </c>
      <c r="AL26" s="75" t="s">
        <v>450</v>
      </c>
      <c r="AM26" s="75" t="s">
        <v>451</v>
      </c>
      <c r="AN26" s="75" t="s">
        <v>156</v>
      </c>
      <c r="AO26" s="75" t="s">
        <v>363</v>
      </c>
      <c r="AP26" s="75" t="s">
        <v>156</v>
      </c>
      <c r="AQ26" s="75" t="s">
        <v>156</v>
      </c>
      <c r="AR26" s="75" t="s">
        <v>156</v>
      </c>
      <c r="AS26" s="75" t="s">
        <v>364</v>
      </c>
      <c r="AT26" s="75" t="s">
        <v>156</v>
      </c>
      <c r="AU26" s="75" t="s">
        <v>156</v>
      </c>
      <c r="AV26" s="75" t="s">
        <v>156</v>
      </c>
      <c r="AW26" s="181"/>
      <c r="AX26" s="179"/>
      <c r="AY26" s="75">
        <v>5</v>
      </c>
    </row>
    <row r="27" spans="1:51" s="76" customFormat="1" ht="20.149999999999999" customHeight="1" x14ac:dyDescent="0.35">
      <c r="A27" s="75" t="s">
        <v>517</v>
      </c>
      <c r="B27" s="75" t="s">
        <v>168</v>
      </c>
      <c r="C27" s="75" t="s">
        <v>344</v>
      </c>
      <c r="D27" s="75" t="s">
        <v>345</v>
      </c>
      <c r="E27" s="75" t="s">
        <v>156</v>
      </c>
      <c r="F27" s="75" t="s">
        <v>156</v>
      </c>
      <c r="G27" s="75" t="s">
        <v>381</v>
      </c>
      <c r="H27" s="75" t="s">
        <v>156</v>
      </c>
      <c r="I27" s="75" t="str">
        <f t="shared" si="0"/>
        <v>A valid SSO SSJ Journey for Connect Fixed - Internal Loss (Kogan to VF)</v>
      </c>
      <c r="J27" s="75" t="s">
        <v>347</v>
      </c>
      <c r="K27" s="75" t="s">
        <v>346</v>
      </c>
      <c r="L27" s="75" t="s">
        <v>497</v>
      </c>
      <c r="M27" s="75" t="s">
        <v>159</v>
      </c>
      <c r="N27" s="75" t="s">
        <v>472</v>
      </c>
      <c r="O27" s="75" t="s">
        <v>159</v>
      </c>
      <c r="P27" s="75" t="s">
        <v>156</v>
      </c>
      <c r="Q27" s="75" t="s">
        <v>346</v>
      </c>
      <c r="R27" s="75" t="s">
        <v>346</v>
      </c>
      <c r="S27" s="75" t="s">
        <v>156</v>
      </c>
      <c r="T27" s="75" t="s">
        <v>473</v>
      </c>
      <c r="U27" s="86" t="s">
        <v>474</v>
      </c>
      <c r="V27" s="86" t="s">
        <v>156</v>
      </c>
      <c r="W27" s="75" t="s">
        <v>476</v>
      </c>
      <c r="X27" s="75" t="s">
        <v>488</v>
      </c>
      <c r="Y27" s="86" t="s">
        <v>489</v>
      </c>
      <c r="Z27" s="75" t="s">
        <v>157</v>
      </c>
      <c r="AA27" s="75" t="s">
        <v>412</v>
      </c>
      <c r="AB27" s="75" t="s">
        <v>156</v>
      </c>
      <c r="AC27" s="75" t="s">
        <v>518</v>
      </c>
      <c r="AD27" s="75" t="s">
        <v>156</v>
      </c>
      <c r="AE27" s="75" t="s">
        <v>156</v>
      </c>
      <c r="AF27" s="75" t="s">
        <v>156</v>
      </c>
      <c r="AG27" s="75" t="s">
        <v>156</v>
      </c>
      <c r="AH27" s="75" t="s">
        <v>156</v>
      </c>
      <c r="AI27" s="86" t="s">
        <v>519</v>
      </c>
      <c r="AJ27" s="86" t="s">
        <v>520</v>
      </c>
      <c r="AK27" s="75" t="s">
        <v>359</v>
      </c>
      <c r="AL27" s="75" t="s">
        <v>521</v>
      </c>
      <c r="AM27" s="75" t="s">
        <v>522</v>
      </c>
      <c r="AN27" s="75" t="s">
        <v>523</v>
      </c>
      <c r="AO27" s="75" t="s">
        <v>397</v>
      </c>
      <c r="AP27" s="75" t="s">
        <v>398</v>
      </c>
      <c r="AQ27" s="75" t="s">
        <v>423</v>
      </c>
      <c r="AR27" s="75" t="s">
        <v>398</v>
      </c>
      <c r="AS27" s="75" t="s">
        <v>337</v>
      </c>
      <c r="AT27" s="75" t="s">
        <v>156</v>
      </c>
      <c r="AU27" s="75" t="s">
        <v>156</v>
      </c>
      <c r="AV27" s="75" t="s">
        <v>156</v>
      </c>
      <c r="AW27" s="181"/>
      <c r="AX27" s="179"/>
      <c r="AY27" s="75">
        <v>5</v>
      </c>
    </row>
    <row r="28" spans="1:51" s="76" customFormat="1" ht="20.149999999999999" customHeight="1" x14ac:dyDescent="0.35">
      <c r="A28" s="75" t="s">
        <v>524</v>
      </c>
      <c r="B28" s="75" t="s">
        <v>157</v>
      </c>
      <c r="C28" s="75" t="s">
        <v>344</v>
      </c>
      <c r="D28" s="75" t="s">
        <v>345</v>
      </c>
      <c r="E28" s="75" t="s">
        <v>156</v>
      </c>
      <c r="F28" s="75" t="s">
        <v>156</v>
      </c>
      <c r="G28" s="75" t="s">
        <v>156</v>
      </c>
      <c r="H28" s="75" t="s">
        <v>156</v>
      </c>
      <c r="I28" s="75" t="str">
        <f t="shared" si="0"/>
        <v>A valid SSO SSJ Journey for Connect Fixed - Internal Loss (TPG to VF)</v>
      </c>
      <c r="J28" s="75" t="s">
        <v>347</v>
      </c>
      <c r="K28" s="75" t="s">
        <v>346</v>
      </c>
      <c r="L28" s="75" t="s">
        <v>368</v>
      </c>
      <c r="M28" s="75" t="s">
        <v>159</v>
      </c>
      <c r="N28" s="75" t="s">
        <v>472</v>
      </c>
      <c r="O28" s="75" t="s">
        <v>159</v>
      </c>
      <c r="P28" s="75" t="s">
        <v>156</v>
      </c>
      <c r="Q28" s="75" t="s">
        <v>346</v>
      </c>
      <c r="R28" s="75" t="s">
        <v>346</v>
      </c>
      <c r="S28" s="75" t="s">
        <v>156</v>
      </c>
      <c r="T28" s="86" t="s">
        <v>513</v>
      </c>
      <c r="U28" s="86" t="s">
        <v>514</v>
      </c>
      <c r="V28" s="86" t="s">
        <v>515</v>
      </c>
      <c r="W28" s="75" t="s">
        <v>403</v>
      </c>
      <c r="X28" s="86" t="s">
        <v>510</v>
      </c>
      <c r="Y28" s="86" t="s">
        <v>525</v>
      </c>
      <c r="Z28" s="75" t="s">
        <v>157</v>
      </c>
      <c r="AA28" s="75" t="s">
        <v>431</v>
      </c>
      <c r="AB28" s="75" t="s">
        <v>156</v>
      </c>
      <c r="AC28" s="75" t="s">
        <v>518</v>
      </c>
      <c r="AD28" s="75" t="s">
        <v>156</v>
      </c>
      <c r="AE28" s="75" t="s">
        <v>156</v>
      </c>
      <c r="AF28" s="75" t="s">
        <v>156</v>
      </c>
      <c r="AG28" s="75" t="s">
        <v>156</v>
      </c>
      <c r="AH28" s="75" t="s">
        <v>156</v>
      </c>
      <c r="AI28" s="86" t="s">
        <v>526</v>
      </c>
      <c r="AJ28" s="86" t="s">
        <v>527</v>
      </c>
      <c r="AK28" s="75" t="s">
        <v>377</v>
      </c>
      <c r="AL28" s="75" t="s">
        <v>528</v>
      </c>
      <c r="AM28" s="75" t="s">
        <v>482</v>
      </c>
      <c r="AN28" s="75" t="s">
        <v>156</v>
      </c>
      <c r="AO28" s="75" t="s">
        <v>397</v>
      </c>
      <c r="AP28" s="75" t="s">
        <v>424</v>
      </c>
      <c r="AQ28" s="75" t="s">
        <v>446</v>
      </c>
      <c r="AR28" s="75" t="s">
        <v>398</v>
      </c>
      <c r="AS28" s="75" t="s">
        <v>364</v>
      </c>
      <c r="AT28" s="75" t="s">
        <v>425</v>
      </c>
      <c r="AU28" s="75" t="s">
        <v>426</v>
      </c>
      <c r="AV28" s="75" t="s">
        <v>427</v>
      </c>
      <c r="AW28" s="181"/>
      <c r="AX28" s="179"/>
      <c r="AY28" s="75">
        <v>5</v>
      </c>
    </row>
    <row r="29" spans="1:51" s="76" customFormat="1" ht="20.149999999999999" customHeight="1" x14ac:dyDescent="0.35">
      <c r="A29" s="75" t="s">
        <v>529</v>
      </c>
      <c r="B29" s="75" t="s">
        <v>157</v>
      </c>
      <c r="C29" s="75" t="s">
        <v>344</v>
      </c>
      <c r="D29" s="75" t="s">
        <v>345</v>
      </c>
      <c r="E29" s="75" t="s">
        <v>156</v>
      </c>
      <c r="F29" s="75" t="s">
        <v>156</v>
      </c>
      <c r="G29" s="75" t="s">
        <v>156</v>
      </c>
      <c r="H29" s="75" t="s">
        <v>156</v>
      </c>
      <c r="I29" s="75" t="str">
        <f t="shared" si="0"/>
        <v>A valid SSO SSJ Journey for Connect- Fixed- NBN</v>
      </c>
      <c r="J29" s="75" t="s">
        <v>347</v>
      </c>
      <c r="K29" s="75" t="s">
        <v>346</v>
      </c>
      <c r="L29" s="75" t="s">
        <v>497</v>
      </c>
      <c r="M29" s="75" t="s">
        <v>159</v>
      </c>
      <c r="N29" s="75" t="s">
        <v>472</v>
      </c>
      <c r="O29" s="75" t="s">
        <v>159</v>
      </c>
      <c r="P29" s="75" t="s">
        <v>156</v>
      </c>
      <c r="Q29" s="75" t="s">
        <v>346</v>
      </c>
      <c r="R29" s="75" t="s">
        <v>346</v>
      </c>
      <c r="S29" s="75" t="s">
        <v>156</v>
      </c>
      <c r="T29" s="86" t="s">
        <v>513</v>
      </c>
      <c r="U29" s="86" t="s">
        <v>514</v>
      </c>
      <c r="V29" s="86" t="s">
        <v>515</v>
      </c>
      <c r="W29" s="75" t="s">
        <v>403</v>
      </c>
      <c r="X29" s="86" t="s">
        <v>530</v>
      </c>
      <c r="Y29" s="86" t="s">
        <v>525</v>
      </c>
      <c r="Z29" s="75" t="s">
        <v>157</v>
      </c>
      <c r="AA29" s="75" t="s">
        <v>531</v>
      </c>
      <c r="AB29" s="75" t="s">
        <v>156</v>
      </c>
      <c r="AC29" s="75" t="s">
        <v>518</v>
      </c>
      <c r="AD29" s="75" t="s">
        <v>156</v>
      </c>
      <c r="AE29" s="75" t="s">
        <v>156</v>
      </c>
      <c r="AF29" s="75" t="s">
        <v>156</v>
      </c>
      <c r="AG29" s="75" t="s">
        <v>156</v>
      </c>
      <c r="AH29" s="75" t="s">
        <v>156</v>
      </c>
      <c r="AI29" s="86" t="s">
        <v>519</v>
      </c>
      <c r="AJ29" s="86" t="s">
        <v>520</v>
      </c>
      <c r="AK29" s="75" t="s">
        <v>359</v>
      </c>
      <c r="AL29" s="75" t="s">
        <v>532</v>
      </c>
      <c r="AM29" s="75" t="s">
        <v>451</v>
      </c>
      <c r="AN29" s="75" t="s">
        <v>533</v>
      </c>
      <c r="AO29" s="75" t="s">
        <v>397</v>
      </c>
      <c r="AP29" s="75" t="s">
        <v>424</v>
      </c>
      <c r="AQ29" s="75" t="s">
        <v>446</v>
      </c>
      <c r="AR29" s="75" t="s">
        <v>424</v>
      </c>
      <c r="AS29" s="75" t="s">
        <v>364</v>
      </c>
      <c r="AT29" s="75" t="s">
        <v>425</v>
      </c>
      <c r="AU29" s="75" t="s">
        <v>426</v>
      </c>
      <c r="AV29" s="75" t="s">
        <v>427</v>
      </c>
      <c r="AW29" s="181"/>
      <c r="AX29" s="179"/>
      <c r="AY29" s="75">
        <v>5</v>
      </c>
    </row>
    <row r="30" spans="1:51" s="76" customFormat="1" ht="20.149999999999999" customHeight="1" x14ac:dyDescent="0.35">
      <c r="A30" s="75" t="s">
        <v>534</v>
      </c>
      <c r="B30" s="75" t="s">
        <v>157</v>
      </c>
      <c r="C30" s="75" t="s">
        <v>344</v>
      </c>
      <c r="D30" s="75" t="s">
        <v>345</v>
      </c>
      <c r="E30" s="75" t="s">
        <v>156</v>
      </c>
      <c r="F30" s="75" t="s">
        <v>156</v>
      </c>
      <c r="G30" s="75" t="s">
        <v>156</v>
      </c>
      <c r="H30" s="75" t="s">
        <v>156</v>
      </c>
      <c r="I30" s="75" t="str">
        <f t="shared" si="0"/>
        <v>A valid SSO SSJ Journey for Connect Fixed - Service Transfer Reversal</v>
      </c>
      <c r="J30" s="75" t="s">
        <v>347</v>
      </c>
      <c r="K30" s="75" t="s">
        <v>346</v>
      </c>
      <c r="L30" s="75" t="s">
        <v>368</v>
      </c>
      <c r="M30" s="75" t="s">
        <v>159</v>
      </c>
      <c r="N30" s="75" t="s">
        <v>472</v>
      </c>
      <c r="O30" s="75" t="s">
        <v>159</v>
      </c>
      <c r="P30" s="75" t="s">
        <v>156</v>
      </c>
      <c r="Q30" s="75" t="s">
        <v>346</v>
      </c>
      <c r="R30" s="75" t="s">
        <v>346</v>
      </c>
      <c r="S30" s="75" t="s">
        <v>156</v>
      </c>
      <c r="T30" s="86" t="s">
        <v>498</v>
      </c>
      <c r="U30" s="86" t="s">
        <v>499</v>
      </c>
      <c r="V30" s="86" t="s">
        <v>509</v>
      </c>
      <c r="W30" s="75" t="s">
        <v>403</v>
      </c>
      <c r="X30" s="86" t="s">
        <v>510</v>
      </c>
      <c r="Y30" s="86" t="s">
        <v>511</v>
      </c>
      <c r="Z30" s="75" t="s">
        <v>436</v>
      </c>
      <c r="AA30" s="75" t="s">
        <v>437</v>
      </c>
      <c r="AB30" s="75" t="s">
        <v>156</v>
      </c>
      <c r="AC30" s="75" t="s">
        <v>535</v>
      </c>
      <c r="AD30" s="75" t="s">
        <v>156</v>
      </c>
      <c r="AE30" s="75" t="s">
        <v>156</v>
      </c>
      <c r="AF30" s="75" t="s">
        <v>156</v>
      </c>
      <c r="AG30" s="75" t="s">
        <v>156</v>
      </c>
      <c r="AH30" s="75" t="s">
        <v>156</v>
      </c>
      <c r="AI30" s="86" t="s">
        <v>526</v>
      </c>
      <c r="AJ30" s="86" t="s">
        <v>536</v>
      </c>
      <c r="AK30" s="75" t="s">
        <v>377</v>
      </c>
      <c r="AL30" s="75" t="s">
        <v>537</v>
      </c>
      <c r="AM30" s="75" t="s">
        <v>468</v>
      </c>
      <c r="AN30" s="75" t="s">
        <v>156</v>
      </c>
      <c r="AO30" s="75" t="s">
        <v>363</v>
      </c>
      <c r="AP30" s="75" t="s">
        <v>156</v>
      </c>
      <c r="AQ30" s="75" t="s">
        <v>156</v>
      </c>
      <c r="AR30" s="75" t="s">
        <v>156</v>
      </c>
      <c r="AS30" s="75" t="s">
        <v>364</v>
      </c>
      <c r="AT30" s="75" t="s">
        <v>156</v>
      </c>
      <c r="AU30" s="75" t="s">
        <v>156</v>
      </c>
      <c r="AV30" s="75" t="s">
        <v>156</v>
      </c>
      <c r="AW30" s="181"/>
      <c r="AX30" s="179"/>
      <c r="AY30" s="75">
        <v>5</v>
      </c>
    </row>
    <row r="31" spans="1:51" s="73" customFormat="1" ht="20.149999999999999" customHeight="1" x14ac:dyDescent="0.35">
      <c r="A31" s="72" t="s">
        <v>538</v>
      </c>
      <c r="B31" s="72" t="s">
        <v>157</v>
      </c>
      <c r="C31" s="72" t="s">
        <v>400</v>
      </c>
      <c r="D31" s="72" t="s">
        <v>345</v>
      </c>
      <c r="E31" s="72" t="s">
        <v>156</v>
      </c>
      <c r="F31" s="72" t="s">
        <v>156</v>
      </c>
      <c r="G31" s="72" t="s">
        <v>156</v>
      </c>
      <c r="H31" s="72" t="s">
        <v>156</v>
      </c>
      <c r="I31" s="72" t="str">
        <f t="shared" si="0"/>
        <v>A valid SSO SSJ Journey for Connect Fixed - NBN</v>
      </c>
      <c r="J31" s="72" t="s">
        <v>346</v>
      </c>
      <c r="K31" s="72" t="s">
        <v>347</v>
      </c>
      <c r="L31" s="72" t="s">
        <v>368</v>
      </c>
      <c r="M31" s="72" t="s">
        <v>159</v>
      </c>
      <c r="N31" s="72" t="s">
        <v>539</v>
      </c>
      <c r="O31" s="72" t="s">
        <v>159</v>
      </c>
      <c r="P31" s="72" t="s">
        <v>156</v>
      </c>
      <c r="Q31" s="115" t="s">
        <v>443</v>
      </c>
      <c r="R31" s="115" t="s">
        <v>347</v>
      </c>
      <c r="S31" s="115" t="s">
        <v>351</v>
      </c>
      <c r="T31" s="72" t="s">
        <v>540</v>
      </c>
      <c r="U31" s="107" t="s">
        <v>353</v>
      </c>
      <c r="V31" s="72" t="s">
        <v>353</v>
      </c>
      <c r="W31" s="72" t="s">
        <v>354</v>
      </c>
      <c r="X31" s="72" t="s">
        <v>156</v>
      </c>
      <c r="Y31" s="72" t="s">
        <v>157</v>
      </c>
      <c r="Z31" s="72" t="s">
        <v>157</v>
      </c>
      <c r="AA31" s="72" t="s">
        <v>356</v>
      </c>
      <c r="AB31" s="72" t="s">
        <v>156</v>
      </c>
      <c r="AC31" s="72" t="s">
        <v>478</v>
      </c>
      <c r="AD31" s="72" t="s">
        <v>156</v>
      </c>
      <c r="AE31" s="72" t="s">
        <v>156</v>
      </c>
      <c r="AF31" s="72" t="s">
        <v>156</v>
      </c>
      <c r="AG31" s="72" t="s">
        <v>156</v>
      </c>
      <c r="AH31" s="72" t="s">
        <v>156</v>
      </c>
      <c r="AI31" s="77" t="s">
        <v>491</v>
      </c>
      <c r="AJ31" s="77" t="s">
        <v>492</v>
      </c>
      <c r="AK31" s="72" t="s">
        <v>377</v>
      </c>
      <c r="AL31" s="72" t="s">
        <v>528</v>
      </c>
      <c r="AM31" s="72" t="s">
        <v>482</v>
      </c>
      <c r="AN31" s="72" t="s">
        <v>156</v>
      </c>
      <c r="AO31" s="72" t="s">
        <v>397</v>
      </c>
      <c r="AP31" s="72" t="s">
        <v>424</v>
      </c>
      <c r="AQ31" s="72" t="s">
        <v>156</v>
      </c>
      <c r="AR31" s="72" t="s">
        <v>156</v>
      </c>
      <c r="AS31" s="72" t="s">
        <v>364</v>
      </c>
      <c r="AT31" s="72" t="s">
        <v>425</v>
      </c>
      <c r="AU31" s="72" t="s">
        <v>426</v>
      </c>
      <c r="AV31" s="72" t="s">
        <v>427</v>
      </c>
      <c r="AW31" s="181"/>
      <c r="AX31" s="179"/>
      <c r="AY31" s="72">
        <v>6</v>
      </c>
    </row>
    <row r="32" spans="1:51" s="73" customFormat="1" ht="20.149999999999999" customHeight="1" x14ac:dyDescent="0.35">
      <c r="A32" s="72" t="s">
        <v>541</v>
      </c>
      <c r="B32" s="72" t="s">
        <v>157</v>
      </c>
      <c r="C32" s="72" t="s">
        <v>344</v>
      </c>
      <c r="D32" s="72" t="s">
        <v>345</v>
      </c>
      <c r="E32" s="72" t="s">
        <v>156</v>
      </c>
      <c r="F32" s="72" t="s">
        <v>156</v>
      </c>
      <c r="G32" s="72" t="s">
        <v>156</v>
      </c>
      <c r="H32" s="72" t="s">
        <v>156</v>
      </c>
      <c r="I32" s="72" t="str">
        <f t="shared" si="0"/>
        <v>A valid SSO SSJ Journey for Connect Fixed - Internal Loss (Kogan to VF)</v>
      </c>
      <c r="J32" s="72" t="s">
        <v>346</v>
      </c>
      <c r="K32" s="72" t="s">
        <v>347</v>
      </c>
      <c r="L32" s="72" t="s">
        <v>368</v>
      </c>
      <c r="M32" s="72" t="s">
        <v>159</v>
      </c>
      <c r="N32" s="72" t="s">
        <v>539</v>
      </c>
      <c r="O32" s="72" t="s">
        <v>159</v>
      </c>
      <c r="P32" s="72" t="s">
        <v>156</v>
      </c>
      <c r="Q32" s="115" t="s">
        <v>485</v>
      </c>
      <c r="R32" s="115" t="s">
        <v>347</v>
      </c>
      <c r="S32" s="115" t="s">
        <v>542</v>
      </c>
      <c r="T32" s="72" t="s">
        <v>543</v>
      </c>
      <c r="U32" s="74" t="s">
        <v>487</v>
      </c>
      <c r="V32" s="72" t="s">
        <v>156</v>
      </c>
      <c r="W32" s="72" t="s">
        <v>476</v>
      </c>
      <c r="X32" s="72" t="s">
        <v>488</v>
      </c>
      <c r="Y32" s="72" t="s">
        <v>489</v>
      </c>
      <c r="Z32" s="72" t="s">
        <v>411</v>
      </c>
      <c r="AA32" s="72" t="s">
        <v>412</v>
      </c>
      <c r="AB32" s="72" t="s">
        <v>156</v>
      </c>
      <c r="AC32" s="72" t="s">
        <v>478</v>
      </c>
      <c r="AD32" s="72" t="s">
        <v>156</v>
      </c>
      <c r="AE32" s="72" t="s">
        <v>156</v>
      </c>
      <c r="AF32" s="72" t="s">
        <v>156</v>
      </c>
      <c r="AG32" s="72" t="s">
        <v>156</v>
      </c>
      <c r="AH32" s="72" t="s">
        <v>156</v>
      </c>
      <c r="AI32" s="77" t="s">
        <v>491</v>
      </c>
      <c r="AJ32" s="77" t="s">
        <v>492</v>
      </c>
      <c r="AK32" s="72" t="s">
        <v>377</v>
      </c>
      <c r="AL32" s="72" t="s">
        <v>450</v>
      </c>
      <c r="AM32" s="72" t="s">
        <v>451</v>
      </c>
      <c r="AN32" s="72" t="s">
        <v>156</v>
      </c>
      <c r="AO32" s="72" t="s">
        <v>363</v>
      </c>
      <c r="AP32" s="72" t="s">
        <v>156</v>
      </c>
      <c r="AQ32" s="72" t="s">
        <v>156</v>
      </c>
      <c r="AR32" s="72" t="s">
        <v>156</v>
      </c>
      <c r="AS32" s="72" t="s">
        <v>364</v>
      </c>
      <c r="AT32" s="72" t="s">
        <v>156</v>
      </c>
      <c r="AU32" s="72" t="s">
        <v>156</v>
      </c>
      <c r="AV32" s="72" t="s">
        <v>156</v>
      </c>
      <c r="AW32" s="181"/>
      <c r="AX32" s="179"/>
      <c r="AY32" s="72">
        <v>5</v>
      </c>
    </row>
    <row r="33" spans="1:51" s="73" customFormat="1" ht="20.149999999999999" customHeight="1" x14ac:dyDescent="0.35">
      <c r="A33" s="72" t="s">
        <v>544</v>
      </c>
      <c r="B33" s="72" t="s">
        <v>168</v>
      </c>
      <c r="C33" s="72" t="s">
        <v>400</v>
      </c>
      <c r="D33" s="72" t="s">
        <v>345</v>
      </c>
      <c r="E33" s="72" t="s">
        <v>156</v>
      </c>
      <c r="F33" s="72" t="s">
        <v>381</v>
      </c>
      <c r="G33" s="72" t="s">
        <v>156</v>
      </c>
      <c r="H33" s="72" t="s">
        <v>156</v>
      </c>
      <c r="I33" s="72" t="str">
        <f t="shared" si="0"/>
        <v>A valid SSO SSJ Journey for Connect Fixed - NBN</v>
      </c>
      <c r="J33" s="72" t="s">
        <v>346</v>
      </c>
      <c r="K33" s="72" t="s">
        <v>347</v>
      </c>
      <c r="L33" s="72" t="s">
        <v>368</v>
      </c>
      <c r="M33" s="72" t="s">
        <v>159</v>
      </c>
      <c r="N33" s="72" t="s">
        <v>539</v>
      </c>
      <c r="O33" s="72" t="s">
        <v>159</v>
      </c>
      <c r="P33" s="72" t="s">
        <v>156</v>
      </c>
      <c r="Q33" s="72" t="s">
        <v>448</v>
      </c>
      <c r="R33" s="72" t="s">
        <v>347</v>
      </c>
      <c r="S33" s="115" t="s">
        <v>542</v>
      </c>
      <c r="T33" s="77" t="s">
        <v>545</v>
      </c>
      <c r="U33" s="77" t="s">
        <v>474</v>
      </c>
      <c r="V33" s="77" t="s">
        <v>514</v>
      </c>
      <c r="W33" s="72" t="s">
        <v>476</v>
      </c>
      <c r="X33" s="77" t="s">
        <v>477</v>
      </c>
      <c r="Y33" s="77" t="s">
        <v>501</v>
      </c>
      <c r="Z33" s="72" t="s">
        <v>411</v>
      </c>
      <c r="AA33" s="72" t="s">
        <v>356</v>
      </c>
      <c r="AB33" s="72" t="s">
        <v>156</v>
      </c>
      <c r="AC33" s="72" t="s">
        <v>502</v>
      </c>
      <c r="AD33" s="72" t="s">
        <v>156</v>
      </c>
      <c r="AE33" s="72" t="s">
        <v>156</v>
      </c>
      <c r="AF33" s="72" t="s">
        <v>156</v>
      </c>
      <c r="AG33" s="72" t="s">
        <v>156</v>
      </c>
      <c r="AH33" s="72" t="s">
        <v>156</v>
      </c>
      <c r="AI33" s="77" t="s">
        <v>491</v>
      </c>
      <c r="AJ33" s="77" t="s">
        <v>492</v>
      </c>
      <c r="AK33" s="72" t="s">
        <v>377</v>
      </c>
      <c r="AL33" s="72" t="s">
        <v>528</v>
      </c>
      <c r="AM33" s="72" t="s">
        <v>482</v>
      </c>
      <c r="AN33" s="115" t="s">
        <v>546</v>
      </c>
      <c r="AO33" s="72" t="s">
        <v>397</v>
      </c>
      <c r="AP33" s="72" t="s">
        <v>398</v>
      </c>
      <c r="AQ33" s="72" t="s">
        <v>446</v>
      </c>
      <c r="AR33" s="72" t="s">
        <v>398</v>
      </c>
      <c r="AS33" s="72" t="s">
        <v>337</v>
      </c>
      <c r="AT33" s="72" t="s">
        <v>156</v>
      </c>
      <c r="AU33" s="72" t="s">
        <v>156</v>
      </c>
      <c r="AV33" s="72" t="s">
        <v>156</v>
      </c>
      <c r="AW33" s="181"/>
      <c r="AX33" s="179"/>
      <c r="AY33" s="72">
        <v>6</v>
      </c>
    </row>
    <row r="34" spans="1:51" s="73" customFormat="1" ht="20.149999999999999" customHeight="1" x14ac:dyDescent="0.35">
      <c r="A34" s="72" t="s">
        <v>547</v>
      </c>
      <c r="B34" s="72" t="s">
        <v>157</v>
      </c>
      <c r="C34" s="72" t="s">
        <v>400</v>
      </c>
      <c r="D34" s="72" t="s">
        <v>345</v>
      </c>
      <c r="E34" s="72" t="s">
        <v>156</v>
      </c>
      <c r="F34" s="72" t="s">
        <v>156</v>
      </c>
      <c r="G34" s="72" t="s">
        <v>156</v>
      </c>
      <c r="H34" s="72" t="s">
        <v>156</v>
      </c>
      <c r="I34" s="72" t="str">
        <f t="shared" si="0"/>
        <v xml:space="preserve">A valid SSO SSJ Journey for Connect Fixed - Connect Outstanding  </v>
      </c>
      <c r="J34" s="72" t="s">
        <v>346</v>
      </c>
      <c r="K34" s="72" t="s">
        <v>347</v>
      </c>
      <c r="L34" s="72" t="s">
        <v>368</v>
      </c>
      <c r="M34" s="72" t="s">
        <v>159</v>
      </c>
      <c r="N34" s="72" t="s">
        <v>539</v>
      </c>
      <c r="O34" s="72" t="s">
        <v>159</v>
      </c>
      <c r="P34" s="72" t="s">
        <v>156</v>
      </c>
      <c r="Q34" s="72" t="s">
        <v>346</v>
      </c>
      <c r="R34" s="72" t="s">
        <v>346</v>
      </c>
      <c r="S34" s="72" t="s">
        <v>156</v>
      </c>
      <c r="T34" s="77" t="s">
        <v>548</v>
      </c>
      <c r="U34" s="77" t="s">
        <v>499</v>
      </c>
      <c r="V34" s="77" t="s">
        <v>509</v>
      </c>
      <c r="W34" s="72" t="s">
        <v>403</v>
      </c>
      <c r="X34" s="77" t="s">
        <v>510</v>
      </c>
      <c r="Y34" s="77" t="s">
        <v>511</v>
      </c>
      <c r="Z34" s="77" t="s">
        <v>390</v>
      </c>
      <c r="AA34" s="72" t="s">
        <v>549</v>
      </c>
      <c r="AB34" s="72" t="s">
        <v>156</v>
      </c>
      <c r="AC34" s="72" t="s">
        <v>502</v>
      </c>
      <c r="AD34" s="72" t="s">
        <v>156</v>
      </c>
      <c r="AE34" s="72" t="s">
        <v>156</v>
      </c>
      <c r="AF34" s="72" t="s">
        <v>156</v>
      </c>
      <c r="AG34" s="72" t="s">
        <v>156</v>
      </c>
      <c r="AH34" s="72" t="s">
        <v>156</v>
      </c>
      <c r="AI34" s="77" t="s">
        <v>491</v>
      </c>
      <c r="AJ34" s="77" t="s">
        <v>492</v>
      </c>
      <c r="AK34" s="72" t="s">
        <v>377</v>
      </c>
      <c r="AL34" s="72" t="s">
        <v>450</v>
      </c>
      <c r="AM34" s="72" t="s">
        <v>451</v>
      </c>
      <c r="AN34" s="72" t="s">
        <v>156</v>
      </c>
      <c r="AO34" s="72" t="s">
        <v>397</v>
      </c>
      <c r="AP34" s="72" t="s">
        <v>424</v>
      </c>
      <c r="AQ34" s="72" t="s">
        <v>156</v>
      </c>
      <c r="AR34" s="72" t="s">
        <v>156</v>
      </c>
      <c r="AS34" s="72" t="s">
        <v>364</v>
      </c>
      <c r="AT34" s="72" t="s">
        <v>425</v>
      </c>
      <c r="AU34" s="72" t="s">
        <v>426</v>
      </c>
      <c r="AV34" s="72" t="s">
        <v>427</v>
      </c>
      <c r="AW34" s="181"/>
      <c r="AX34" s="179"/>
      <c r="AY34" s="72">
        <v>5</v>
      </c>
    </row>
    <row r="35" spans="1:51" s="73" customFormat="1" ht="20.149999999999999" customHeight="1" x14ac:dyDescent="0.35">
      <c r="A35" s="72" t="s">
        <v>550</v>
      </c>
      <c r="B35" s="72" t="s">
        <v>157</v>
      </c>
      <c r="C35" s="72" t="s">
        <v>400</v>
      </c>
      <c r="D35" s="72" t="s">
        <v>345</v>
      </c>
      <c r="E35" s="72" t="s">
        <v>156</v>
      </c>
      <c r="F35" s="72" t="s">
        <v>156</v>
      </c>
      <c r="G35" s="72" t="s">
        <v>156</v>
      </c>
      <c r="H35" s="72" t="s">
        <v>156</v>
      </c>
      <c r="I35" s="72" t="str">
        <f t="shared" si="0"/>
        <v>A valid SSO SSJ Journey for Connect Fixed - Service Transition</v>
      </c>
      <c r="J35" s="72" t="s">
        <v>346</v>
      </c>
      <c r="K35" s="72" t="s">
        <v>347</v>
      </c>
      <c r="L35" s="72" t="s">
        <v>497</v>
      </c>
      <c r="M35" s="72" t="s">
        <v>159</v>
      </c>
      <c r="N35" s="72" t="s">
        <v>539</v>
      </c>
      <c r="O35" s="72" t="s">
        <v>159</v>
      </c>
      <c r="P35" s="72" t="s">
        <v>156</v>
      </c>
      <c r="Q35" s="115" t="s">
        <v>448</v>
      </c>
      <c r="R35" s="115" t="s">
        <v>347</v>
      </c>
      <c r="S35" s="115" t="s">
        <v>351</v>
      </c>
      <c r="T35" s="77" t="s">
        <v>548</v>
      </c>
      <c r="U35" s="77" t="s">
        <v>499</v>
      </c>
      <c r="V35" s="77" t="s">
        <v>500</v>
      </c>
      <c r="W35" s="72" t="s">
        <v>476</v>
      </c>
      <c r="X35" s="77" t="s">
        <v>488</v>
      </c>
      <c r="Y35" s="77" t="s">
        <v>501</v>
      </c>
      <c r="Z35" s="77" t="s">
        <v>551</v>
      </c>
      <c r="AA35" s="72" t="s">
        <v>494</v>
      </c>
      <c r="AB35" s="72" t="s">
        <v>156</v>
      </c>
      <c r="AC35" s="72" t="s">
        <v>518</v>
      </c>
      <c r="AD35" s="72" t="s">
        <v>156</v>
      </c>
      <c r="AE35" s="72" t="s">
        <v>156</v>
      </c>
      <c r="AF35" s="72" t="s">
        <v>156</v>
      </c>
      <c r="AG35" s="72" t="s">
        <v>156</v>
      </c>
      <c r="AH35" s="72" t="s">
        <v>156</v>
      </c>
      <c r="AI35" s="77" t="s">
        <v>519</v>
      </c>
      <c r="AJ35" s="77" t="s">
        <v>520</v>
      </c>
      <c r="AK35" s="72" t="s">
        <v>359</v>
      </c>
      <c r="AL35" s="72" t="s">
        <v>552</v>
      </c>
      <c r="AM35" s="72" t="s">
        <v>522</v>
      </c>
      <c r="AN35" s="72" t="s">
        <v>553</v>
      </c>
      <c r="AO35" s="72" t="s">
        <v>397</v>
      </c>
      <c r="AP35" s="72" t="s">
        <v>398</v>
      </c>
      <c r="AQ35" s="72" t="s">
        <v>423</v>
      </c>
      <c r="AR35" s="72" t="s">
        <v>398</v>
      </c>
      <c r="AS35" s="72" t="s">
        <v>364</v>
      </c>
      <c r="AT35" s="72" t="s">
        <v>156</v>
      </c>
      <c r="AU35" s="72" t="s">
        <v>156</v>
      </c>
      <c r="AV35" s="72" t="s">
        <v>156</v>
      </c>
      <c r="AW35" s="181"/>
      <c r="AX35" s="179"/>
      <c r="AY35" s="72">
        <v>5</v>
      </c>
    </row>
    <row r="36" spans="1:51" s="73" customFormat="1" ht="20.149999999999999" customHeight="1" x14ac:dyDescent="0.35">
      <c r="A36" s="72" t="s">
        <v>554</v>
      </c>
      <c r="B36" s="72" t="s">
        <v>168</v>
      </c>
      <c r="C36" s="72" t="s">
        <v>344</v>
      </c>
      <c r="D36" s="72" t="s">
        <v>345</v>
      </c>
      <c r="E36" s="72" t="s">
        <v>156</v>
      </c>
      <c r="F36" s="72" t="s">
        <v>156</v>
      </c>
      <c r="G36" s="72" t="s">
        <v>156</v>
      </c>
      <c r="H36" s="72" t="s">
        <v>381</v>
      </c>
      <c r="I36" s="72" t="str">
        <f t="shared" ref="I36:I67" si="1">"A valid SSO SSJ Journey for "&amp;AA36</f>
        <v>A valid SSO SSJ Journey for Connect Fixed - Connect Outstanding  Transition</v>
      </c>
      <c r="J36" s="72" t="s">
        <v>347</v>
      </c>
      <c r="K36" s="72" t="s">
        <v>346</v>
      </c>
      <c r="L36" s="72" t="s">
        <v>368</v>
      </c>
      <c r="M36" s="72" t="s">
        <v>159</v>
      </c>
      <c r="N36" s="72" t="s">
        <v>539</v>
      </c>
      <c r="O36" s="72" t="s">
        <v>159</v>
      </c>
      <c r="P36" s="72" t="s">
        <v>156</v>
      </c>
      <c r="Q36" s="115" t="s">
        <v>458</v>
      </c>
      <c r="R36" s="115" t="s">
        <v>347</v>
      </c>
      <c r="S36" s="115" t="s">
        <v>351</v>
      </c>
      <c r="T36" s="77" t="s">
        <v>548</v>
      </c>
      <c r="U36" s="77" t="s">
        <v>499</v>
      </c>
      <c r="V36" s="77" t="s">
        <v>500</v>
      </c>
      <c r="W36" s="72" t="s">
        <v>476</v>
      </c>
      <c r="X36" s="77" t="s">
        <v>488</v>
      </c>
      <c r="Y36" s="77" t="s">
        <v>501</v>
      </c>
      <c r="Z36" s="77" t="s">
        <v>390</v>
      </c>
      <c r="AA36" s="72" t="s">
        <v>490</v>
      </c>
      <c r="AB36" s="72" t="s">
        <v>156</v>
      </c>
      <c r="AC36" s="72" t="s">
        <v>518</v>
      </c>
      <c r="AD36" s="72" t="s">
        <v>156</v>
      </c>
      <c r="AE36" s="72" t="s">
        <v>156</v>
      </c>
      <c r="AF36" s="72" t="s">
        <v>156</v>
      </c>
      <c r="AG36" s="72" t="s">
        <v>156</v>
      </c>
      <c r="AH36" s="72" t="s">
        <v>156</v>
      </c>
      <c r="AI36" s="77" t="s">
        <v>526</v>
      </c>
      <c r="AJ36" s="77" t="s">
        <v>527</v>
      </c>
      <c r="AK36" s="72" t="s">
        <v>377</v>
      </c>
      <c r="AL36" s="72" t="s">
        <v>528</v>
      </c>
      <c r="AM36" s="72" t="s">
        <v>482</v>
      </c>
      <c r="AN36" s="72" t="s">
        <v>156</v>
      </c>
      <c r="AO36" s="72" t="s">
        <v>363</v>
      </c>
      <c r="AP36" s="72" t="s">
        <v>156</v>
      </c>
      <c r="AQ36" s="72" t="s">
        <v>156</v>
      </c>
      <c r="AR36" s="72" t="s">
        <v>156</v>
      </c>
      <c r="AS36" s="72" t="s">
        <v>337</v>
      </c>
      <c r="AT36" s="72" t="s">
        <v>156</v>
      </c>
      <c r="AU36" s="72" t="s">
        <v>156</v>
      </c>
      <c r="AV36" s="72" t="s">
        <v>156</v>
      </c>
      <c r="AW36" s="181"/>
      <c r="AX36" s="179"/>
      <c r="AY36" s="72">
        <v>5</v>
      </c>
    </row>
    <row r="37" spans="1:51" s="73" customFormat="1" ht="20.149999999999999" customHeight="1" x14ac:dyDescent="0.35">
      <c r="A37" s="72" t="s">
        <v>555</v>
      </c>
      <c r="B37" s="72" t="s">
        <v>157</v>
      </c>
      <c r="C37" s="72" t="s">
        <v>400</v>
      </c>
      <c r="D37" s="72" t="s">
        <v>345</v>
      </c>
      <c r="E37" s="72" t="s">
        <v>156</v>
      </c>
      <c r="F37" s="72" t="s">
        <v>156</v>
      </c>
      <c r="G37" s="72" t="s">
        <v>156</v>
      </c>
      <c r="H37" s="72" t="s">
        <v>156</v>
      </c>
      <c r="I37" s="72" t="str">
        <f t="shared" si="1"/>
        <v>A valid SSO SSJ Journey for Connect Fixed - Service Transfer Reversal</v>
      </c>
      <c r="J37" s="72" t="s">
        <v>347</v>
      </c>
      <c r="K37" s="72" t="s">
        <v>346</v>
      </c>
      <c r="L37" s="72" t="s">
        <v>497</v>
      </c>
      <c r="M37" s="72" t="s">
        <v>159</v>
      </c>
      <c r="N37" s="72" t="s">
        <v>539</v>
      </c>
      <c r="O37" s="72" t="s">
        <v>159</v>
      </c>
      <c r="P37" s="72" t="s">
        <v>156</v>
      </c>
      <c r="Q37" s="72" t="s">
        <v>346</v>
      </c>
      <c r="R37" s="72" t="s">
        <v>346</v>
      </c>
      <c r="S37" s="72" t="s">
        <v>156</v>
      </c>
      <c r="T37" s="77" t="s">
        <v>556</v>
      </c>
      <c r="U37" s="77" t="s">
        <v>514</v>
      </c>
      <c r="V37" s="77" t="s">
        <v>515</v>
      </c>
      <c r="W37" s="72" t="s">
        <v>403</v>
      </c>
      <c r="X37" s="77" t="s">
        <v>510</v>
      </c>
      <c r="Y37" s="77" t="s">
        <v>557</v>
      </c>
      <c r="Z37" s="72" t="s">
        <v>436</v>
      </c>
      <c r="AA37" s="72" t="s">
        <v>437</v>
      </c>
      <c r="AB37" s="72" t="s">
        <v>156</v>
      </c>
      <c r="AC37" s="72" t="s">
        <v>518</v>
      </c>
      <c r="AD37" s="72" t="s">
        <v>156</v>
      </c>
      <c r="AE37" s="72" t="s">
        <v>156</v>
      </c>
      <c r="AF37" s="72" t="s">
        <v>156</v>
      </c>
      <c r="AG37" s="72" t="s">
        <v>156</v>
      </c>
      <c r="AH37" s="72" t="s">
        <v>156</v>
      </c>
      <c r="AI37" s="77" t="s">
        <v>519</v>
      </c>
      <c r="AJ37" s="77" t="s">
        <v>520</v>
      </c>
      <c r="AK37" s="72" t="s">
        <v>359</v>
      </c>
      <c r="AL37" s="72" t="s">
        <v>532</v>
      </c>
      <c r="AM37" s="72" t="s">
        <v>451</v>
      </c>
      <c r="AN37" s="72" t="s">
        <v>558</v>
      </c>
      <c r="AO37" s="72" t="s">
        <v>363</v>
      </c>
      <c r="AP37" s="72" t="s">
        <v>156</v>
      </c>
      <c r="AQ37" s="72" t="s">
        <v>156</v>
      </c>
      <c r="AR37" s="72" t="s">
        <v>156</v>
      </c>
      <c r="AS37" s="72" t="s">
        <v>364</v>
      </c>
      <c r="AT37" s="72" t="s">
        <v>156</v>
      </c>
      <c r="AU37" s="72" t="s">
        <v>156</v>
      </c>
      <c r="AV37" s="72" t="s">
        <v>156</v>
      </c>
      <c r="AW37" s="181"/>
      <c r="AX37" s="179"/>
      <c r="AY37" s="72">
        <v>5</v>
      </c>
    </row>
    <row r="38" spans="1:51" s="73" customFormat="1" ht="20.149999999999999" customHeight="1" x14ac:dyDescent="0.35">
      <c r="A38" s="72" t="s">
        <v>559</v>
      </c>
      <c r="B38" s="72" t="s">
        <v>157</v>
      </c>
      <c r="C38" s="72" t="s">
        <v>400</v>
      </c>
      <c r="D38" s="72" t="s">
        <v>345</v>
      </c>
      <c r="E38" s="72" t="s">
        <v>156</v>
      </c>
      <c r="F38" s="72" t="s">
        <v>156</v>
      </c>
      <c r="G38" s="72" t="s">
        <v>156</v>
      </c>
      <c r="H38" s="72" t="s">
        <v>156</v>
      </c>
      <c r="I38" s="72" t="str">
        <f t="shared" si="1"/>
        <v>A valid SSO SSJ Journey for Connect Fixed - Service Transfer</v>
      </c>
      <c r="J38" s="72" t="s">
        <v>347</v>
      </c>
      <c r="K38" s="72" t="s">
        <v>346</v>
      </c>
      <c r="L38" s="72" t="s">
        <v>368</v>
      </c>
      <c r="M38" s="72" t="s">
        <v>159</v>
      </c>
      <c r="N38" s="72" t="s">
        <v>539</v>
      </c>
      <c r="O38" s="72" t="s">
        <v>159</v>
      </c>
      <c r="P38" s="72" t="s">
        <v>156</v>
      </c>
      <c r="Q38" s="72" t="s">
        <v>346</v>
      </c>
      <c r="R38" s="72" t="s">
        <v>346</v>
      </c>
      <c r="S38" s="72" t="s">
        <v>156</v>
      </c>
      <c r="T38" s="77" t="s">
        <v>556</v>
      </c>
      <c r="U38" s="77" t="s">
        <v>514</v>
      </c>
      <c r="V38" s="77" t="s">
        <v>560</v>
      </c>
      <c r="W38" s="72" t="s">
        <v>403</v>
      </c>
      <c r="X38" s="77" t="s">
        <v>510</v>
      </c>
      <c r="Y38" s="77" t="s">
        <v>557</v>
      </c>
      <c r="Z38" s="77" t="s">
        <v>551</v>
      </c>
      <c r="AA38" s="72" t="s">
        <v>406</v>
      </c>
      <c r="AB38" s="72" t="s">
        <v>156</v>
      </c>
      <c r="AC38" s="72" t="s">
        <v>535</v>
      </c>
      <c r="AD38" s="72" t="s">
        <v>156</v>
      </c>
      <c r="AE38" s="72" t="s">
        <v>156</v>
      </c>
      <c r="AF38" s="72" t="s">
        <v>156</v>
      </c>
      <c r="AG38" s="72" t="s">
        <v>156</v>
      </c>
      <c r="AH38" s="72" t="s">
        <v>156</v>
      </c>
      <c r="AI38" s="77" t="s">
        <v>526</v>
      </c>
      <c r="AJ38" s="77" t="s">
        <v>536</v>
      </c>
      <c r="AK38" s="72" t="s">
        <v>377</v>
      </c>
      <c r="AL38" s="72" t="s">
        <v>450</v>
      </c>
      <c r="AM38" s="72" t="s">
        <v>451</v>
      </c>
      <c r="AN38" s="72" t="s">
        <v>156</v>
      </c>
      <c r="AO38" s="72" t="s">
        <v>397</v>
      </c>
      <c r="AP38" s="72" t="s">
        <v>398</v>
      </c>
      <c r="AQ38" s="72" t="s">
        <v>156</v>
      </c>
      <c r="AR38" s="72" t="s">
        <v>156</v>
      </c>
      <c r="AS38" s="72" t="s">
        <v>364</v>
      </c>
      <c r="AT38" s="72" t="s">
        <v>156</v>
      </c>
      <c r="AU38" s="72" t="s">
        <v>156</v>
      </c>
      <c r="AV38" s="72" t="s">
        <v>156</v>
      </c>
      <c r="AW38" s="181"/>
      <c r="AX38" s="179"/>
      <c r="AY38" s="72">
        <v>5</v>
      </c>
    </row>
    <row r="39" spans="1:51" s="73" customFormat="1" ht="20.149999999999999" customHeight="1" x14ac:dyDescent="0.35">
      <c r="A39" s="72" t="s">
        <v>561</v>
      </c>
      <c r="B39" s="72" t="s">
        <v>157</v>
      </c>
      <c r="C39" s="72" t="s">
        <v>400</v>
      </c>
      <c r="D39" s="72" t="s">
        <v>345</v>
      </c>
      <c r="E39" s="72" t="s">
        <v>156</v>
      </c>
      <c r="F39" s="72" t="s">
        <v>156</v>
      </c>
      <c r="G39" s="72" t="s">
        <v>156</v>
      </c>
      <c r="H39" s="72" t="s">
        <v>156</v>
      </c>
      <c r="I39" s="72" t="str">
        <f t="shared" si="1"/>
        <v>A valid SSO SSJ Journey for Connect Fixed - Internal Loss (TPG to VF)</v>
      </c>
      <c r="J39" s="72" t="s">
        <v>347</v>
      </c>
      <c r="K39" s="72" t="s">
        <v>346</v>
      </c>
      <c r="L39" s="72" t="s">
        <v>368</v>
      </c>
      <c r="M39" s="72" t="s">
        <v>159</v>
      </c>
      <c r="N39" s="72" t="s">
        <v>539</v>
      </c>
      <c r="O39" s="72" t="s">
        <v>159</v>
      </c>
      <c r="P39" s="72" t="s">
        <v>156</v>
      </c>
      <c r="Q39" s="72" t="s">
        <v>346</v>
      </c>
      <c r="R39" s="72" t="s">
        <v>346</v>
      </c>
      <c r="S39" s="72" t="s">
        <v>156</v>
      </c>
      <c r="T39" s="77" t="s">
        <v>556</v>
      </c>
      <c r="U39" s="77" t="s">
        <v>514</v>
      </c>
      <c r="V39" s="77" t="s">
        <v>560</v>
      </c>
      <c r="W39" s="72" t="s">
        <v>403</v>
      </c>
      <c r="X39" s="77" t="s">
        <v>510</v>
      </c>
      <c r="Y39" s="77" t="s">
        <v>557</v>
      </c>
      <c r="Z39" s="72" t="s">
        <v>157</v>
      </c>
      <c r="AA39" s="72" t="s">
        <v>431</v>
      </c>
      <c r="AB39" s="72" t="s">
        <v>156</v>
      </c>
      <c r="AC39" s="72" t="s">
        <v>535</v>
      </c>
      <c r="AD39" s="72" t="s">
        <v>156</v>
      </c>
      <c r="AE39" s="72" t="s">
        <v>156</v>
      </c>
      <c r="AF39" s="72" t="s">
        <v>156</v>
      </c>
      <c r="AG39" s="72" t="s">
        <v>156</v>
      </c>
      <c r="AH39" s="72" t="s">
        <v>156</v>
      </c>
      <c r="AI39" s="77" t="s">
        <v>526</v>
      </c>
      <c r="AJ39" s="77" t="s">
        <v>536</v>
      </c>
      <c r="AK39" s="72" t="s">
        <v>377</v>
      </c>
      <c r="AL39" s="72" t="s">
        <v>537</v>
      </c>
      <c r="AM39" s="72" t="s">
        <v>468</v>
      </c>
      <c r="AN39" s="72" t="s">
        <v>156</v>
      </c>
      <c r="AO39" s="72" t="s">
        <v>363</v>
      </c>
      <c r="AP39" s="72" t="s">
        <v>156</v>
      </c>
      <c r="AQ39" s="72" t="s">
        <v>156</v>
      </c>
      <c r="AR39" s="72" t="s">
        <v>156</v>
      </c>
      <c r="AS39" s="72" t="s">
        <v>364</v>
      </c>
      <c r="AT39" s="72" t="s">
        <v>156</v>
      </c>
      <c r="AU39" s="72" t="s">
        <v>156</v>
      </c>
      <c r="AV39" s="72" t="s">
        <v>156</v>
      </c>
      <c r="AW39" s="181"/>
      <c r="AX39" s="179"/>
      <c r="AY39" s="72">
        <v>5</v>
      </c>
    </row>
    <row r="40" spans="1:51" s="76" customFormat="1" ht="20.149999999999999" customHeight="1" x14ac:dyDescent="0.35">
      <c r="A40" s="75" t="s">
        <v>562</v>
      </c>
      <c r="B40" s="75" t="s">
        <v>157</v>
      </c>
      <c r="C40" s="75" t="s">
        <v>400</v>
      </c>
      <c r="D40" s="75" t="s">
        <v>345</v>
      </c>
      <c r="E40" s="75" t="s">
        <v>156</v>
      </c>
      <c r="F40" s="75" t="s">
        <v>156</v>
      </c>
      <c r="G40" s="75" t="s">
        <v>156</v>
      </c>
      <c r="H40" s="75" t="s">
        <v>156</v>
      </c>
      <c r="I40" s="75" t="str">
        <f t="shared" si="1"/>
        <v>A valid SSO SSJ Journey for Connect Fixed - NBN</v>
      </c>
      <c r="J40" s="75" t="s">
        <v>346</v>
      </c>
      <c r="K40" s="75" t="s">
        <v>347</v>
      </c>
      <c r="L40" s="75" t="s">
        <v>368</v>
      </c>
      <c r="M40" s="75" t="s">
        <v>159</v>
      </c>
      <c r="N40" s="75" t="s">
        <v>563</v>
      </c>
      <c r="O40" s="75" t="s">
        <v>159</v>
      </c>
      <c r="P40" s="75" t="s">
        <v>156</v>
      </c>
      <c r="Q40" s="75" t="s">
        <v>350</v>
      </c>
      <c r="R40" s="75" t="s">
        <v>347</v>
      </c>
      <c r="S40" s="115" t="s">
        <v>351</v>
      </c>
      <c r="T40" s="75" t="s">
        <v>540</v>
      </c>
      <c r="U40" s="75" t="s">
        <v>353</v>
      </c>
      <c r="V40" s="75" t="s">
        <v>353</v>
      </c>
      <c r="W40" s="75" t="s">
        <v>354</v>
      </c>
      <c r="X40" s="75" t="s">
        <v>156</v>
      </c>
      <c r="Y40" s="75" t="s">
        <v>157</v>
      </c>
      <c r="Z40" s="75" t="s">
        <v>157</v>
      </c>
      <c r="AA40" s="75" t="s">
        <v>356</v>
      </c>
      <c r="AB40" s="75" t="s">
        <v>156</v>
      </c>
      <c r="AC40" s="75" t="s">
        <v>478</v>
      </c>
      <c r="AD40" s="75" t="s">
        <v>156</v>
      </c>
      <c r="AE40" s="75" t="s">
        <v>156</v>
      </c>
      <c r="AF40" s="75" t="s">
        <v>156</v>
      </c>
      <c r="AG40" s="75" t="s">
        <v>156</v>
      </c>
      <c r="AH40" s="75" t="s">
        <v>156</v>
      </c>
      <c r="AI40" s="86" t="s">
        <v>491</v>
      </c>
      <c r="AJ40" s="86" t="s">
        <v>492</v>
      </c>
      <c r="AK40" s="75" t="s">
        <v>377</v>
      </c>
      <c r="AL40" s="75" t="s">
        <v>528</v>
      </c>
      <c r="AM40" s="75" t="s">
        <v>482</v>
      </c>
      <c r="AN40" s="75" t="s">
        <v>156</v>
      </c>
      <c r="AO40" s="75" t="s">
        <v>397</v>
      </c>
      <c r="AP40" s="75" t="s">
        <v>424</v>
      </c>
      <c r="AQ40" s="75" t="s">
        <v>156</v>
      </c>
      <c r="AR40" s="75" t="s">
        <v>156</v>
      </c>
      <c r="AS40" s="75" t="s">
        <v>364</v>
      </c>
      <c r="AT40" s="75" t="s">
        <v>425</v>
      </c>
      <c r="AU40" s="75" t="s">
        <v>426</v>
      </c>
      <c r="AV40" s="75" t="s">
        <v>427</v>
      </c>
      <c r="AW40" s="181"/>
      <c r="AX40" s="179"/>
      <c r="AY40" s="75">
        <v>5</v>
      </c>
    </row>
    <row r="41" spans="1:51" s="90" customFormat="1" ht="20.149999999999999" customHeight="1" x14ac:dyDescent="0.35">
      <c r="A41" s="75" t="s">
        <v>564</v>
      </c>
      <c r="B41" s="75" t="s">
        <v>157</v>
      </c>
      <c r="C41" s="75" t="s">
        <v>344</v>
      </c>
      <c r="D41" s="75" t="s">
        <v>345</v>
      </c>
      <c r="E41" s="75" t="s">
        <v>156</v>
      </c>
      <c r="F41" s="75" t="s">
        <v>156</v>
      </c>
      <c r="G41" s="75" t="s">
        <v>156</v>
      </c>
      <c r="H41" s="75" t="s">
        <v>156</v>
      </c>
      <c r="I41" s="75" t="str">
        <f t="shared" si="1"/>
        <v>A valid SSO SSJ Journey for Connect Fixed - Service Transition</v>
      </c>
      <c r="J41" s="75" t="s">
        <v>346</v>
      </c>
      <c r="K41" s="75" t="s">
        <v>347</v>
      </c>
      <c r="L41" s="75" t="s">
        <v>414</v>
      </c>
      <c r="M41" s="75" t="s">
        <v>383</v>
      </c>
      <c r="N41" s="75" t="s">
        <v>563</v>
      </c>
      <c r="O41" s="75" t="s">
        <v>384</v>
      </c>
      <c r="P41" s="75" t="s">
        <v>385</v>
      </c>
      <c r="Q41" s="75" t="s">
        <v>443</v>
      </c>
      <c r="R41" s="75" t="s">
        <v>347</v>
      </c>
      <c r="S41" s="115" t="s">
        <v>542</v>
      </c>
      <c r="T41" s="75" t="s">
        <v>543</v>
      </c>
      <c r="U41" s="75" t="s">
        <v>487</v>
      </c>
      <c r="V41" s="75" t="s">
        <v>156</v>
      </c>
      <c r="W41" s="75" t="s">
        <v>476</v>
      </c>
      <c r="X41" s="75" t="s">
        <v>488</v>
      </c>
      <c r="Y41" s="75" t="s">
        <v>489</v>
      </c>
      <c r="Z41" s="75" t="s">
        <v>405</v>
      </c>
      <c r="AA41" s="75" t="s">
        <v>494</v>
      </c>
      <c r="AB41" s="75" t="s">
        <v>156</v>
      </c>
      <c r="AC41" s="75" t="s">
        <v>478</v>
      </c>
      <c r="AD41" s="75" t="s">
        <v>156</v>
      </c>
      <c r="AE41" s="75" t="s">
        <v>156</v>
      </c>
      <c r="AF41" s="75" t="s">
        <v>156</v>
      </c>
      <c r="AG41" s="75" t="s">
        <v>156</v>
      </c>
      <c r="AH41" s="75" t="s">
        <v>156</v>
      </c>
      <c r="AI41" s="86" t="s">
        <v>479</v>
      </c>
      <c r="AJ41" s="86" t="s">
        <v>480</v>
      </c>
      <c r="AK41" s="75" t="s">
        <v>359</v>
      </c>
      <c r="AL41" s="75" t="s">
        <v>532</v>
      </c>
      <c r="AM41" s="75" t="s">
        <v>451</v>
      </c>
      <c r="AN41" s="75" t="s">
        <v>565</v>
      </c>
      <c r="AO41" s="75" t="s">
        <v>363</v>
      </c>
      <c r="AP41" s="75" t="s">
        <v>156</v>
      </c>
      <c r="AQ41" s="75" t="s">
        <v>156</v>
      </c>
      <c r="AR41" s="75" t="s">
        <v>156</v>
      </c>
      <c r="AS41" s="75" t="s">
        <v>364</v>
      </c>
      <c r="AT41" s="75" t="s">
        <v>156</v>
      </c>
      <c r="AU41" s="75" t="s">
        <v>156</v>
      </c>
      <c r="AV41" s="75" t="s">
        <v>156</v>
      </c>
      <c r="AW41" s="181"/>
      <c r="AX41" s="179"/>
      <c r="AY41" s="75">
        <v>5</v>
      </c>
    </row>
    <row r="42" spans="1:51" s="90" customFormat="1" ht="20.149999999999999" customHeight="1" x14ac:dyDescent="0.35">
      <c r="A42" s="75" t="s">
        <v>566</v>
      </c>
      <c r="B42" s="75" t="s">
        <v>168</v>
      </c>
      <c r="C42" s="75" t="s">
        <v>400</v>
      </c>
      <c r="D42" s="75" t="s">
        <v>345</v>
      </c>
      <c r="E42" s="75" t="s">
        <v>381</v>
      </c>
      <c r="F42" s="75" t="s">
        <v>156</v>
      </c>
      <c r="G42" s="75" t="s">
        <v>156</v>
      </c>
      <c r="H42" s="75" t="s">
        <v>156</v>
      </c>
      <c r="I42" s="75" t="str">
        <f t="shared" si="1"/>
        <v>A valid SSO SSJ Journey for Connect Fixed  - Connect Outstanding  Transition</v>
      </c>
      <c r="J42" s="75" t="s">
        <v>346</v>
      </c>
      <c r="K42" s="75" t="s">
        <v>347</v>
      </c>
      <c r="L42" s="75" t="s">
        <v>368</v>
      </c>
      <c r="M42" s="75" t="s">
        <v>159</v>
      </c>
      <c r="N42" s="75" t="s">
        <v>563</v>
      </c>
      <c r="O42" s="75" t="s">
        <v>159</v>
      </c>
      <c r="P42" s="75" t="s">
        <v>156</v>
      </c>
      <c r="Q42" s="75" t="s">
        <v>346</v>
      </c>
      <c r="R42" s="75" t="s">
        <v>346</v>
      </c>
      <c r="S42" s="75" t="s">
        <v>156</v>
      </c>
      <c r="T42" s="86" t="s">
        <v>545</v>
      </c>
      <c r="U42" s="86" t="s">
        <v>474</v>
      </c>
      <c r="V42" s="86" t="s">
        <v>514</v>
      </c>
      <c r="W42" s="75" t="s">
        <v>476</v>
      </c>
      <c r="X42" s="86" t="s">
        <v>488</v>
      </c>
      <c r="Y42" s="86" t="s">
        <v>501</v>
      </c>
      <c r="Z42" s="75" t="s">
        <v>567</v>
      </c>
      <c r="AA42" s="75" t="s">
        <v>568</v>
      </c>
      <c r="AB42" s="75" t="s">
        <v>156</v>
      </c>
      <c r="AC42" s="75" t="s">
        <v>502</v>
      </c>
      <c r="AD42" s="75" t="s">
        <v>156</v>
      </c>
      <c r="AE42" s="75" t="s">
        <v>156</v>
      </c>
      <c r="AF42" s="75" t="s">
        <v>156</v>
      </c>
      <c r="AG42" s="75" t="s">
        <v>156</v>
      </c>
      <c r="AH42" s="75" t="s">
        <v>156</v>
      </c>
      <c r="AI42" s="86" t="s">
        <v>491</v>
      </c>
      <c r="AJ42" s="86" t="s">
        <v>492</v>
      </c>
      <c r="AK42" s="75" t="s">
        <v>377</v>
      </c>
      <c r="AL42" s="75" t="s">
        <v>528</v>
      </c>
      <c r="AM42" s="75" t="s">
        <v>482</v>
      </c>
      <c r="AN42" s="75" t="s">
        <v>156</v>
      </c>
      <c r="AO42" s="75" t="s">
        <v>397</v>
      </c>
      <c r="AP42" s="75" t="s">
        <v>398</v>
      </c>
      <c r="AQ42" s="75" t="s">
        <v>446</v>
      </c>
      <c r="AR42" s="75" t="s">
        <v>398</v>
      </c>
      <c r="AS42" s="75" t="s">
        <v>337</v>
      </c>
      <c r="AT42" s="75" t="s">
        <v>156</v>
      </c>
      <c r="AU42" s="75" t="s">
        <v>156</v>
      </c>
      <c r="AV42" s="75" t="s">
        <v>156</v>
      </c>
      <c r="AW42" s="181"/>
      <c r="AX42" s="179"/>
      <c r="AY42" s="75">
        <v>5</v>
      </c>
    </row>
    <row r="43" spans="1:51" s="90" customFormat="1" ht="20.149999999999999" customHeight="1" x14ac:dyDescent="0.35">
      <c r="A43" s="75" t="s">
        <v>569</v>
      </c>
      <c r="B43" s="75" t="s">
        <v>157</v>
      </c>
      <c r="C43" s="75" t="s">
        <v>400</v>
      </c>
      <c r="D43" s="75" t="s">
        <v>345</v>
      </c>
      <c r="E43" s="75" t="s">
        <v>156</v>
      </c>
      <c r="F43" s="75" t="s">
        <v>156</v>
      </c>
      <c r="G43" s="75" t="s">
        <v>156</v>
      </c>
      <c r="H43" s="75" t="s">
        <v>156</v>
      </c>
      <c r="I43" s="75" t="str">
        <f t="shared" si="1"/>
        <v xml:space="preserve">A valid SSO SSJ Journey for Connect Fixed - Connect Outstanding </v>
      </c>
      <c r="J43" s="75" t="s">
        <v>346</v>
      </c>
      <c r="K43" s="75" t="s">
        <v>347</v>
      </c>
      <c r="L43" s="75" t="s">
        <v>368</v>
      </c>
      <c r="M43" s="75" t="s">
        <v>159</v>
      </c>
      <c r="N43" s="75" t="s">
        <v>563</v>
      </c>
      <c r="O43" s="75" t="s">
        <v>159</v>
      </c>
      <c r="P43" s="75" t="s">
        <v>156</v>
      </c>
      <c r="Q43" s="75" t="s">
        <v>346</v>
      </c>
      <c r="R43" s="75" t="s">
        <v>346</v>
      </c>
      <c r="S43" s="75" t="s">
        <v>156</v>
      </c>
      <c r="T43" s="86" t="s">
        <v>548</v>
      </c>
      <c r="U43" s="86" t="s">
        <v>499</v>
      </c>
      <c r="V43" s="86" t="s">
        <v>509</v>
      </c>
      <c r="W43" s="75" t="s">
        <v>403</v>
      </c>
      <c r="X43" s="86" t="s">
        <v>510</v>
      </c>
      <c r="Y43" s="86" t="s">
        <v>511</v>
      </c>
      <c r="Z43" s="86" t="s">
        <v>390</v>
      </c>
      <c r="AA43" s="75" t="s">
        <v>570</v>
      </c>
      <c r="AB43" s="75" t="s">
        <v>156</v>
      </c>
      <c r="AC43" s="75" t="s">
        <v>502</v>
      </c>
      <c r="AD43" s="75" t="s">
        <v>156</v>
      </c>
      <c r="AE43" s="75" t="s">
        <v>156</v>
      </c>
      <c r="AF43" s="75" t="s">
        <v>156</v>
      </c>
      <c r="AG43" s="75" t="s">
        <v>156</v>
      </c>
      <c r="AH43" s="75" t="s">
        <v>156</v>
      </c>
      <c r="AI43" s="86" t="s">
        <v>491</v>
      </c>
      <c r="AJ43" s="86" t="s">
        <v>492</v>
      </c>
      <c r="AK43" s="75" t="s">
        <v>377</v>
      </c>
      <c r="AL43" s="75" t="s">
        <v>450</v>
      </c>
      <c r="AM43" s="75" t="s">
        <v>451</v>
      </c>
      <c r="AN43" s="116" t="s">
        <v>571</v>
      </c>
      <c r="AO43" s="75" t="s">
        <v>397</v>
      </c>
      <c r="AP43" s="75" t="s">
        <v>424</v>
      </c>
      <c r="AQ43" s="75" t="s">
        <v>156</v>
      </c>
      <c r="AR43" s="75" t="s">
        <v>156</v>
      </c>
      <c r="AS43" s="75" t="s">
        <v>364</v>
      </c>
      <c r="AT43" s="75" t="s">
        <v>425</v>
      </c>
      <c r="AU43" s="75" t="s">
        <v>426</v>
      </c>
      <c r="AV43" s="75" t="s">
        <v>427</v>
      </c>
      <c r="AW43" s="181"/>
      <c r="AX43" s="179"/>
      <c r="AY43" s="75">
        <v>6</v>
      </c>
    </row>
    <row r="44" spans="1:51" s="76" customFormat="1" ht="20.149999999999999" customHeight="1" x14ac:dyDescent="0.35">
      <c r="A44" s="75" t="s">
        <v>572</v>
      </c>
      <c r="B44" s="75" t="s">
        <v>157</v>
      </c>
      <c r="C44" s="75" t="s">
        <v>400</v>
      </c>
      <c r="D44" s="75" t="s">
        <v>345</v>
      </c>
      <c r="E44" s="75" t="s">
        <v>156</v>
      </c>
      <c r="F44" s="75" t="s">
        <v>156</v>
      </c>
      <c r="G44" s="75" t="s">
        <v>156</v>
      </c>
      <c r="H44" s="75" t="s">
        <v>156</v>
      </c>
      <c r="I44" s="75" t="str">
        <f t="shared" si="1"/>
        <v>A valid SSO SSJ Journey for Connect Fixed - Service Transfer</v>
      </c>
      <c r="J44" s="75" t="s">
        <v>346</v>
      </c>
      <c r="K44" s="75" t="s">
        <v>347</v>
      </c>
      <c r="L44" s="75" t="s">
        <v>368</v>
      </c>
      <c r="M44" s="75" t="s">
        <v>159</v>
      </c>
      <c r="N44" s="75" t="s">
        <v>563</v>
      </c>
      <c r="O44" s="75" t="s">
        <v>159</v>
      </c>
      <c r="P44" s="75" t="s">
        <v>156</v>
      </c>
      <c r="Q44" s="75" t="s">
        <v>346</v>
      </c>
      <c r="R44" s="75" t="s">
        <v>346</v>
      </c>
      <c r="S44" s="75" t="s">
        <v>156</v>
      </c>
      <c r="T44" s="86" t="s">
        <v>548</v>
      </c>
      <c r="U44" s="86" t="s">
        <v>499</v>
      </c>
      <c r="V44" s="86" t="s">
        <v>509</v>
      </c>
      <c r="W44" s="75" t="s">
        <v>403</v>
      </c>
      <c r="X44" s="86" t="s">
        <v>510</v>
      </c>
      <c r="Y44" s="86" t="s">
        <v>511</v>
      </c>
      <c r="Z44" s="86" t="s">
        <v>551</v>
      </c>
      <c r="AA44" s="75" t="s">
        <v>406</v>
      </c>
      <c r="AB44" s="75" t="s">
        <v>156</v>
      </c>
      <c r="AC44" s="75" t="s">
        <v>518</v>
      </c>
      <c r="AD44" s="75" t="s">
        <v>156</v>
      </c>
      <c r="AE44" s="75" t="s">
        <v>156</v>
      </c>
      <c r="AF44" s="75" t="s">
        <v>156</v>
      </c>
      <c r="AG44" s="75" t="s">
        <v>156</v>
      </c>
      <c r="AH44" s="75" t="s">
        <v>156</v>
      </c>
      <c r="AI44" s="86" t="s">
        <v>526</v>
      </c>
      <c r="AJ44" s="86" t="s">
        <v>527</v>
      </c>
      <c r="AK44" s="75" t="s">
        <v>377</v>
      </c>
      <c r="AL44" s="75" t="s">
        <v>528</v>
      </c>
      <c r="AM44" s="75" t="s">
        <v>482</v>
      </c>
      <c r="AN44" s="75" t="s">
        <v>156</v>
      </c>
      <c r="AO44" s="75" t="s">
        <v>397</v>
      </c>
      <c r="AP44" s="75" t="s">
        <v>398</v>
      </c>
      <c r="AQ44" s="75" t="s">
        <v>423</v>
      </c>
      <c r="AR44" s="75" t="s">
        <v>398</v>
      </c>
      <c r="AS44" s="75" t="s">
        <v>364</v>
      </c>
      <c r="AT44" s="75" t="s">
        <v>156</v>
      </c>
      <c r="AU44" s="75" t="s">
        <v>156</v>
      </c>
      <c r="AV44" s="75" t="s">
        <v>156</v>
      </c>
      <c r="AW44" s="181"/>
      <c r="AX44" s="179"/>
      <c r="AY44" s="75">
        <v>5</v>
      </c>
    </row>
    <row r="45" spans="1:51" s="76" customFormat="1" ht="20.149999999999999" customHeight="1" x14ac:dyDescent="0.35">
      <c r="A45" s="75" t="s">
        <v>573</v>
      </c>
      <c r="B45" s="75" t="s">
        <v>168</v>
      </c>
      <c r="C45" s="75" t="s">
        <v>344</v>
      </c>
      <c r="D45" s="75" t="s">
        <v>345</v>
      </c>
      <c r="E45" s="75" t="s">
        <v>156</v>
      </c>
      <c r="F45" s="75" t="s">
        <v>156</v>
      </c>
      <c r="G45" s="75" t="s">
        <v>381</v>
      </c>
      <c r="H45" s="75" t="s">
        <v>156</v>
      </c>
      <c r="I45" s="75" t="str">
        <f t="shared" si="1"/>
        <v>A valid SSO SSJ Journey for Connect Fixed - Internal Loss (TPG to VF)</v>
      </c>
      <c r="J45" s="75" t="s">
        <v>346</v>
      </c>
      <c r="K45" s="75" t="s">
        <v>347</v>
      </c>
      <c r="L45" s="75" t="s">
        <v>414</v>
      </c>
      <c r="M45" s="75" t="s">
        <v>159</v>
      </c>
      <c r="N45" s="75" t="s">
        <v>563</v>
      </c>
      <c r="O45" s="75" t="s">
        <v>159</v>
      </c>
      <c r="P45" s="75" t="s">
        <v>156</v>
      </c>
      <c r="Q45" s="75" t="s">
        <v>346</v>
      </c>
      <c r="R45" s="75" t="s">
        <v>346</v>
      </c>
      <c r="S45" s="75" t="s">
        <v>156</v>
      </c>
      <c r="T45" s="86" t="s">
        <v>548</v>
      </c>
      <c r="U45" s="86" t="s">
        <v>499</v>
      </c>
      <c r="V45" s="86" t="s">
        <v>509</v>
      </c>
      <c r="W45" s="75" t="s">
        <v>403</v>
      </c>
      <c r="X45" s="86" t="s">
        <v>510</v>
      </c>
      <c r="Y45" s="86" t="s">
        <v>511</v>
      </c>
      <c r="Z45" s="86" t="s">
        <v>157</v>
      </c>
      <c r="AA45" s="75" t="s">
        <v>431</v>
      </c>
      <c r="AB45" s="75" t="s">
        <v>156</v>
      </c>
      <c r="AC45" s="75" t="s">
        <v>518</v>
      </c>
      <c r="AD45" s="75" t="s">
        <v>156</v>
      </c>
      <c r="AE45" s="75" t="s">
        <v>156</v>
      </c>
      <c r="AF45" s="75" t="s">
        <v>156</v>
      </c>
      <c r="AG45" s="75" t="s">
        <v>156</v>
      </c>
      <c r="AH45" s="75" t="s">
        <v>156</v>
      </c>
      <c r="AI45" s="86" t="s">
        <v>519</v>
      </c>
      <c r="AJ45" s="86" t="s">
        <v>520</v>
      </c>
      <c r="AK45" s="75" t="s">
        <v>359</v>
      </c>
      <c r="AL45" s="75" t="s">
        <v>532</v>
      </c>
      <c r="AM45" s="75" t="s">
        <v>451</v>
      </c>
      <c r="AN45" s="75" t="s">
        <v>574</v>
      </c>
      <c r="AO45" s="75" t="s">
        <v>363</v>
      </c>
      <c r="AP45" s="75" t="s">
        <v>156</v>
      </c>
      <c r="AQ45" s="75" t="s">
        <v>156</v>
      </c>
      <c r="AR45" s="75" t="s">
        <v>156</v>
      </c>
      <c r="AS45" s="75" t="s">
        <v>337</v>
      </c>
      <c r="AT45" s="75" t="s">
        <v>156</v>
      </c>
      <c r="AU45" s="75" t="s">
        <v>156</v>
      </c>
      <c r="AV45" s="75" t="s">
        <v>156</v>
      </c>
      <c r="AW45" s="181"/>
      <c r="AX45" s="179"/>
      <c r="AY45" s="75">
        <v>5</v>
      </c>
    </row>
    <row r="46" spans="1:51" s="76" customFormat="1" ht="20.149999999999999" customHeight="1" x14ac:dyDescent="0.35">
      <c r="A46" s="75" t="s">
        <v>575</v>
      </c>
      <c r="B46" s="75" t="s">
        <v>157</v>
      </c>
      <c r="C46" s="75" t="s">
        <v>400</v>
      </c>
      <c r="D46" s="75" t="s">
        <v>345</v>
      </c>
      <c r="E46" s="75" t="s">
        <v>156</v>
      </c>
      <c r="F46" s="75" t="s">
        <v>156</v>
      </c>
      <c r="G46" s="75" t="s">
        <v>156</v>
      </c>
      <c r="H46" s="75" t="s">
        <v>156</v>
      </c>
      <c r="I46" s="75" t="str">
        <f t="shared" si="1"/>
        <v>A valid SSO SSJ Journey for Connect Fixed - Internal Loss (Kogan to VF)</v>
      </c>
      <c r="J46" s="75" t="s">
        <v>347</v>
      </c>
      <c r="K46" s="75" t="s">
        <v>346</v>
      </c>
      <c r="L46" s="75" t="s">
        <v>368</v>
      </c>
      <c r="M46" s="75" t="s">
        <v>159</v>
      </c>
      <c r="N46" s="75" t="s">
        <v>563</v>
      </c>
      <c r="O46" s="75" t="s">
        <v>159</v>
      </c>
      <c r="P46" s="75" t="s">
        <v>156</v>
      </c>
      <c r="Q46" s="115" t="s">
        <v>448</v>
      </c>
      <c r="R46" s="115" t="s">
        <v>347</v>
      </c>
      <c r="S46" s="115" t="s">
        <v>542</v>
      </c>
      <c r="T46" s="86" t="s">
        <v>548</v>
      </c>
      <c r="U46" s="86" t="s">
        <v>499</v>
      </c>
      <c r="V46" s="86" t="s">
        <v>500</v>
      </c>
      <c r="W46" s="75" t="s">
        <v>476</v>
      </c>
      <c r="X46" s="86" t="s">
        <v>488</v>
      </c>
      <c r="Y46" s="86" t="s">
        <v>501</v>
      </c>
      <c r="Z46" s="86" t="s">
        <v>157</v>
      </c>
      <c r="AA46" s="75" t="s">
        <v>412</v>
      </c>
      <c r="AB46" s="75" t="s">
        <v>156</v>
      </c>
      <c r="AC46" s="75" t="s">
        <v>518</v>
      </c>
      <c r="AD46" s="75" t="s">
        <v>156</v>
      </c>
      <c r="AE46" s="75" t="s">
        <v>156</v>
      </c>
      <c r="AF46" s="75" t="s">
        <v>156</v>
      </c>
      <c r="AG46" s="75" t="s">
        <v>156</v>
      </c>
      <c r="AH46" s="75" t="s">
        <v>156</v>
      </c>
      <c r="AI46" s="86" t="s">
        <v>526</v>
      </c>
      <c r="AJ46" s="86" t="s">
        <v>527</v>
      </c>
      <c r="AK46" s="75" t="s">
        <v>377</v>
      </c>
      <c r="AL46" s="75" t="s">
        <v>537</v>
      </c>
      <c r="AM46" s="75" t="s">
        <v>468</v>
      </c>
      <c r="AN46" s="75" t="s">
        <v>156</v>
      </c>
      <c r="AO46" s="75" t="s">
        <v>363</v>
      </c>
      <c r="AP46" s="75" t="s">
        <v>156</v>
      </c>
      <c r="AQ46" s="75" t="s">
        <v>156</v>
      </c>
      <c r="AR46" s="75" t="s">
        <v>156</v>
      </c>
      <c r="AS46" s="75" t="s">
        <v>364</v>
      </c>
      <c r="AT46" s="75" t="s">
        <v>156</v>
      </c>
      <c r="AU46" s="75" t="s">
        <v>156</v>
      </c>
      <c r="AV46" s="75" t="s">
        <v>156</v>
      </c>
      <c r="AW46" s="181"/>
      <c r="AX46" s="179"/>
      <c r="AY46" s="75">
        <v>5</v>
      </c>
    </row>
    <row r="47" spans="1:51" s="90" customFormat="1" ht="20.149999999999999" customHeight="1" x14ac:dyDescent="0.35">
      <c r="A47" s="75" t="s">
        <v>576</v>
      </c>
      <c r="B47" s="75" t="s">
        <v>157</v>
      </c>
      <c r="C47" s="75" t="s">
        <v>400</v>
      </c>
      <c r="D47" s="75" t="s">
        <v>345</v>
      </c>
      <c r="E47" s="75" t="s">
        <v>156</v>
      </c>
      <c r="F47" s="75" t="s">
        <v>156</v>
      </c>
      <c r="G47" s="75" t="s">
        <v>156</v>
      </c>
      <c r="H47" s="75" t="s">
        <v>156</v>
      </c>
      <c r="I47" s="75" t="str">
        <f t="shared" si="1"/>
        <v>A valid SSO SSJ Journey for Connect Fixed - NBN</v>
      </c>
      <c r="J47" s="75" t="s">
        <v>347</v>
      </c>
      <c r="K47" s="75" t="s">
        <v>346</v>
      </c>
      <c r="L47" s="75" t="s">
        <v>368</v>
      </c>
      <c r="M47" s="75" t="s">
        <v>159</v>
      </c>
      <c r="N47" s="75" t="s">
        <v>563</v>
      </c>
      <c r="O47" s="75" t="s">
        <v>159</v>
      </c>
      <c r="P47" s="75" t="s">
        <v>156</v>
      </c>
      <c r="Q47" s="75" t="s">
        <v>346</v>
      </c>
      <c r="R47" s="75" t="s">
        <v>346</v>
      </c>
      <c r="S47" s="75" t="s">
        <v>156</v>
      </c>
      <c r="T47" s="86" t="s">
        <v>556</v>
      </c>
      <c r="U47" s="86" t="s">
        <v>156</v>
      </c>
      <c r="V47" s="86" t="s">
        <v>577</v>
      </c>
      <c r="W47" s="75" t="s">
        <v>403</v>
      </c>
      <c r="X47" s="86" t="s">
        <v>530</v>
      </c>
      <c r="Y47" s="86" t="s">
        <v>578</v>
      </c>
      <c r="Z47" s="75" t="s">
        <v>411</v>
      </c>
      <c r="AA47" s="75" t="s">
        <v>356</v>
      </c>
      <c r="AB47" s="75" t="s">
        <v>156</v>
      </c>
      <c r="AC47" s="75" t="s">
        <v>535</v>
      </c>
      <c r="AD47" s="75" t="s">
        <v>156</v>
      </c>
      <c r="AE47" s="75" t="s">
        <v>156</v>
      </c>
      <c r="AF47" s="75" t="s">
        <v>156</v>
      </c>
      <c r="AG47" s="75" t="s">
        <v>156</v>
      </c>
      <c r="AH47" s="75" t="s">
        <v>156</v>
      </c>
      <c r="AI47" s="86" t="s">
        <v>526</v>
      </c>
      <c r="AJ47" s="86" t="s">
        <v>536</v>
      </c>
      <c r="AK47" s="75" t="s">
        <v>377</v>
      </c>
      <c r="AL47" s="75" t="s">
        <v>528</v>
      </c>
      <c r="AM47" s="75" t="s">
        <v>482</v>
      </c>
      <c r="AN47" s="75" t="s">
        <v>156</v>
      </c>
      <c r="AO47" s="75" t="s">
        <v>397</v>
      </c>
      <c r="AP47" s="75" t="s">
        <v>398</v>
      </c>
      <c r="AQ47" s="75" t="s">
        <v>156</v>
      </c>
      <c r="AR47" s="75" t="s">
        <v>156</v>
      </c>
      <c r="AS47" s="75" t="s">
        <v>364</v>
      </c>
      <c r="AT47" s="75" t="s">
        <v>156</v>
      </c>
      <c r="AU47" s="75" t="s">
        <v>156</v>
      </c>
      <c r="AV47" s="75" t="s">
        <v>156</v>
      </c>
      <c r="AW47" s="181"/>
      <c r="AX47" s="179"/>
      <c r="AY47" s="75">
        <v>5</v>
      </c>
    </row>
    <row r="48" spans="1:51" s="90" customFormat="1" ht="20.149999999999999" customHeight="1" x14ac:dyDescent="0.35">
      <c r="A48" s="75" t="s">
        <v>579</v>
      </c>
      <c r="B48" s="75" t="s">
        <v>168</v>
      </c>
      <c r="C48" s="75" t="s">
        <v>400</v>
      </c>
      <c r="D48" s="75" t="s">
        <v>345</v>
      </c>
      <c r="E48" s="75" t="s">
        <v>156</v>
      </c>
      <c r="F48" s="75" t="s">
        <v>381</v>
      </c>
      <c r="G48" s="75" t="s">
        <v>156</v>
      </c>
      <c r="H48" s="75" t="s">
        <v>156</v>
      </c>
      <c r="I48" s="75" t="str">
        <f t="shared" si="1"/>
        <v>A valid SSO SSJ Journey for Connect Fixed - Service Transfer Reversal</v>
      </c>
      <c r="J48" s="75" t="s">
        <v>347</v>
      </c>
      <c r="K48" s="75" t="s">
        <v>346</v>
      </c>
      <c r="L48" s="75" t="s">
        <v>368</v>
      </c>
      <c r="M48" s="75" t="s">
        <v>159</v>
      </c>
      <c r="N48" s="75" t="s">
        <v>563</v>
      </c>
      <c r="O48" s="75" t="s">
        <v>159</v>
      </c>
      <c r="P48" s="75" t="s">
        <v>156</v>
      </c>
      <c r="Q48" s="75" t="s">
        <v>346</v>
      </c>
      <c r="R48" s="75" t="s">
        <v>346</v>
      </c>
      <c r="S48" s="75" t="s">
        <v>156</v>
      </c>
      <c r="T48" s="86" t="s">
        <v>548</v>
      </c>
      <c r="U48" s="86" t="s">
        <v>499</v>
      </c>
      <c r="V48" s="86" t="s">
        <v>509</v>
      </c>
      <c r="W48" s="75" t="s">
        <v>403</v>
      </c>
      <c r="X48" s="86" t="s">
        <v>510</v>
      </c>
      <c r="Y48" s="86" t="s">
        <v>511</v>
      </c>
      <c r="Z48" s="75" t="s">
        <v>436</v>
      </c>
      <c r="AA48" s="103" t="s">
        <v>437</v>
      </c>
      <c r="AB48" s="75" t="s">
        <v>156</v>
      </c>
      <c r="AC48" s="75" t="s">
        <v>535</v>
      </c>
      <c r="AD48" s="75" t="s">
        <v>156</v>
      </c>
      <c r="AE48" s="75" t="s">
        <v>156</v>
      </c>
      <c r="AF48" s="75" t="s">
        <v>156</v>
      </c>
      <c r="AG48" s="75" t="s">
        <v>156</v>
      </c>
      <c r="AH48" s="75" t="s">
        <v>156</v>
      </c>
      <c r="AI48" s="86" t="s">
        <v>526</v>
      </c>
      <c r="AJ48" s="86" t="s">
        <v>536</v>
      </c>
      <c r="AK48" s="75" t="s">
        <v>377</v>
      </c>
      <c r="AL48" s="75" t="s">
        <v>537</v>
      </c>
      <c r="AM48" s="75" t="s">
        <v>468</v>
      </c>
      <c r="AN48" s="75" t="s">
        <v>156</v>
      </c>
      <c r="AO48" s="75" t="s">
        <v>363</v>
      </c>
      <c r="AP48" s="75" t="s">
        <v>156</v>
      </c>
      <c r="AQ48" s="75" t="s">
        <v>156</v>
      </c>
      <c r="AR48" s="75" t="s">
        <v>156</v>
      </c>
      <c r="AS48" s="75" t="s">
        <v>337</v>
      </c>
      <c r="AT48" s="75" t="s">
        <v>156</v>
      </c>
      <c r="AU48" s="75" t="s">
        <v>156</v>
      </c>
      <c r="AV48" s="75" t="s">
        <v>156</v>
      </c>
      <c r="AW48" s="181"/>
      <c r="AX48" s="179"/>
      <c r="AY48" s="75">
        <v>5</v>
      </c>
    </row>
    <row r="49" spans="1:51" s="73" customFormat="1" ht="20.149999999999999" customHeight="1" x14ac:dyDescent="0.35">
      <c r="A49" s="72" t="s">
        <v>580</v>
      </c>
      <c r="B49" s="72" t="s">
        <v>157</v>
      </c>
      <c r="C49" s="72" t="s">
        <v>344</v>
      </c>
      <c r="D49" s="72" t="s">
        <v>345</v>
      </c>
      <c r="E49" s="72" t="s">
        <v>156</v>
      </c>
      <c r="F49" s="72" t="s">
        <v>156</v>
      </c>
      <c r="G49" s="72" t="s">
        <v>156</v>
      </c>
      <c r="H49" s="72" t="s">
        <v>156</v>
      </c>
      <c r="I49" s="72" t="str">
        <f t="shared" si="1"/>
        <v>A valid SSO SSJ Journey for Connect FWA</v>
      </c>
      <c r="J49" s="74" t="s">
        <v>346</v>
      </c>
      <c r="K49" s="74" t="s">
        <v>347</v>
      </c>
      <c r="L49" s="72" t="s">
        <v>368</v>
      </c>
      <c r="M49" s="72" t="s">
        <v>581</v>
      </c>
      <c r="N49" s="72" t="s">
        <v>582</v>
      </c>
      <c r="O49" s="72" t="s">
        <v>159</v>
      </c>
      <c r="P49" s="72" t="s">
        <v>156</v>
      </c>
      <c r="Q49" s="72" t="s">
        <v>156</v>
      </c>
      <c r="R49" s="72" t="s">
        <v>156</v>
      </c>
      <c r="S49" s="72" t="s">
        <v>156</v>
      </c>
      <c r="T49" s="72" t="s">
        <v>156</v>
      </c>
      <c r="U49" s="72" t="s">
        <v>156</v>
      </c>
      <c r="V49" s="72" t="s">
        <v>156</v>
      </c>
      <c r="W49" s="72" t="s">
        <v>354</v>
      </c>
      <c r="X49" s="72" t="s">
        <v>156</v>
      </c>
      <c r="Y49" s="72" t="s">
        <v>156</v>
      </c>
      <c r="Z49" s="72" t="s">
        <v>156</v>
      </c>
      <c r="AA49" s="74" t="s">
        <v>583</v>
      </c>
      <c r="AB49" s="72" t="s">
        <v>156</v>
      </c>
      <c r="AC49" s="72" t="s">
        <v>156</v>
      </c>
      <c r="AD49" s="72" t="s">
        <v>156</v>
      </c>
      <c r="AE49" s="72" t="s">
        <v>156</v>
      </c>
      <c r="AF49" s="72" t="s">
        <v>156</v>
      </c>
      <c r="AG49" s="72" t="s">
        <v>156</v>
      </c>
      <c r="AH49" s="72" t="s">
        <v>156</v>
      </c>
      <c r="AI49" s="72" t="s">
        <v>584</v>
      </c>
      <c r="AJ49" s="72" t="s">
        <v>156</v>
      </c>
      <c r="AK49" s="72" t="s">
        <v>585</v>
      </c>
      <c r="AL49" s="72" t="s">
        <v>586</v>
      </c>
      <c r="AM49" s="72" t="s">
        <v>587</v>
      </c>
      <c r="AN49" s="72" t="s">
        <v>156</v>
      </c>
      <c r="AO49" s="72" t="s">
        <v>588</v>
      </c>
      <c r="AP49" s="72" t="s">
        <v>398</v>
      </c>
      <c r="AQ49" s="72" t="s">
        <v>156</v>
      </c>
      <c r="AR49" s="72" t="s">
        <v>156</v>
      </c>
      <c r="AS49" s="72" t="s">
        <v>364</v>
      </c>
      <c r="AT49" s="72" t="s">
        <v>156</v>
      </c>
      <c r="AU49" s="72" t="s">
        <v>156</v>
      </c>
      <c r="AV49" s="72" t="s">
        <v>156</v>
      </c>
      <c r="AW49" s="181"/>
      <c r="AX49" s="179"/>
      <c r="AY49" s="72">
        <v>6</v>
      </c>
    </row>
    <row r="50" spans="1:51" s="73" customFormat="1" ht="20.149999999999999" customHeight="1" x14ac:dyDescent="0.35">
      <c r="A50" s="72" t="s">
        <v>589</v>
      </c>
      <c r="B50" s="72" t="s">
        <v>157</v>
      </c>
      <c r="C50" s="72" t="s">
        <v>400</v>
      </c>
      <c r="D50" s="72" t="s">
        <v>345</v>
      </c>
      <c r="E50" s="72" t="s">
        <v>156</v>
      </c>
      <c r="F50" s="72" t="s">
        <v>156</v>
      </c>
      <c r="G50" s="72" t="s">
        <v>156</v>
      </c>
      <c r="H50" s="72" t="s">
        <v>156</v>
      </c>
      <c r="I50" s="72" t="str">
        <f t="shared" si="1"/>
        <v>A valid SSO SSJ Journey for Connect FWA</v>
      </c>
      <c r="J50" s="72" t="s">
        <v>346</v>
      </c>
      <c r="K50" s="72" t="s">
        <v>347</v>
      </c>
      <c r="L50" s="72" t="s">
        <v>414</v>
      </c>
      <c r="M50" s="72" t="s">
        <v>590</v>
      </c>
      <c r="N50" s="72" t="s">
        <v>591</v>
      </c>
      <c r="O50" s="72" t="s">
        <v>156</v>
      </c>
      <c r="P50" s="72" t="s">
        <v>156</v>
      </c>
      <c r="Q50" s="72" t="s">
        <v>156</v>
      </c>
      <c r="R50" s="72" t="s">
        <v>156</v>
      </c>
      <c r="S50" s="72" t="s">
        <v>156</v>
      </c>
      <c r="T50" s="72" t="s">
        <v>156</v>
      </c>
      <c r="U50" s="72" t="s">
        <v>156</v>
      </c>
      <c r="V50" s="72" t="s">
        <v>156</v>
      </c>
      <c r="W50" s="72" t="s">
        <v>354</v>
      </c>
      <c r="X50" s="72" t="s">
        <v>156</v>
      </c>
      <c r="Y50" s="72" t="s">
        <v>156</v>
      </c>
      <c r="Z50" s="72" t="s">
        <v>156</v>
      </c>
      <c r="AA50" s="72" t="s">
        <v>583</v>
      </c>
      <c r="AB50" s="72" t="s">
        <v>156</v>
      </c>
      <c r="AC50" s="72" t="s">
        <v>156</v>
      </c>
      <c r="AD50" s="72" t="s">
        <v>156</v>
      </c>
      <c r="AE50" s="72" t="s">
        <v>156</v>
      </c>
      <c r="AF50" s="72" t="s">
        <v>156</v>
      </c>
      <c r="AG50" s="72" t="s">
        <v>156</v>
      </c>
      <c r="AH50" s="72" t="s">
        <v>156</v>
      </c>
      <c r="AI50" s="72" t="s">
        <v>592</v>
      </c>
      <c r="AJ50" s="72" t="s">
        <v>156</v>
      </c>
      <c r="AK50" s="72" t="s">
        <v>593</v>
      </c>
      <c r="AL50" s="72" t="s">
        <v>594</v>
      </c>
      <c r="AM50" s="72" t="s">
        <v>595</v>
      </c>
      <c r="AN50" s="72" t="s">
        <v>156</v>
      </c>
      <c r="AO50" s="72" t="s">
        <v>397</v>
      </c>
      <c r="AP50" s="72" t="s">
        <v>596</v>
      </c>
      <c r="AQ50" s="72" t="s">
        <v>156</v>
      </c>
      <c r="AR50" s="72" t="s">
        <v>156</v>
      </c>
      <c r="AS50" s="72" t="s">
        <v>364</v>
      </c>
      <c r="AT50" s="72" t="s">
        <v>425</v>
      </c>
      <c r="AU50" s="72" t="s">
        <v>426</v>
      </c>
      <c r="AV50" s="72" t="s">
        <v>427</v>
      </c>
      <c r="AW50" s="181"/>
      <c r="AX50" s="179"/>
      <c r="AY50" s="72">
        <v>5</v>
      </c>
    </row>
    <row r="51" spans="1:51" s="73" customFormat="1" ht="20.149999999999999" customHeight="1" x14ac:dyDescent="0.35">
      <c r="A51" s="72" t="s">
        <v>597</v>
      </c>
      <c r="B51" s="72" t="s">
        <v>157</v>
      </c>
      <c r="C51" s="72" t="s">
        <v>400</v>
      </c>
      <c r="D51" s="72" t="s">
        <v>345</v>
      </c>
      <c r="E51" s="72" t="s">
        <v>156</v>
      </c>
      <c r="F51" s="72" t="s">
        <v>156</v>
      </c>
      <c r="G51" s="72" t="s">
        <v>156</v>
      </c>
      <c r="H51" s="72" t="s">
        <v>156</v>
      </c>
      <c r="I51" s="72" t="str">
        <f t="shared" si="1"/>
        <v>A valid SSO SSJ Journey for Connect FWA</v>
      </c>
      <c r="J51" s="72" t="s">
        <v>346</v>
      </c>
      <c r="K51" s="72" t="s">
        <v>347</v>
      </c>
      <c r="L51" s="72" t="s">
        <v>368</v>
      </c>
      <c r="M51" s="72" t="s">
        <v>598</v>
      </c>
      <c r="N51" s="72" t="s">
        <v>582</v>
      </c>
      <c r="O51" s="72" t="s">
        <v>166</v>
      </c>
      <c r="P51" s="72" t="s">
        <v>156</v>
      </c>
      <c r="Q51" s="72" t="s">
        <v>156</v>
      </c>
      <c r="R51" s="72" t="s">
        <v>156</v>
      </c>
      <c r="S51" s="72" t="s">
        <v>156</v>
      </c>
      <c r="T51" s="72" t="s">
        <v>156</v>
      </c>
      <c r="U51" s="72" t="s">
        <v>156</v>
      </c>
      <c r="V51" s="72" t="s">
        <v>156</v>
      </c>
      <c r="W51" s="72" t="s">
        <v>354</v>
      </c>
      <c r="X51" s="72" t="s">
        <v>156</v>
      </c>
      <c r="Y51" s="72" t="s">
        <v>156</v>
      </c>
      <c r="Z51" s="72" t="s">
        <v>156</v>
      </c>
      <c r="AA51" s="72" t="s">
        <v>583</v>
      </c>
      <c r="AB51" s="72" t="s">
        <v>156</v>
      </c>
      <c r="AC51" s="72" t="s">
        <v>156</v>
      </c>
      <c r="AD51" s="72" t="s">
        <v>156</v>
      </c>
      <c r="AE51" s="72" t="s">
        <v>156</v>
      </c>
      <c r="AF51" s="72" t="s">
        <v>156</v>
      </c>
      <c r="AG51" s="72" t="s">
        <v>156</v>
      </c>
      <c r="AH51" s="72" t="s">
        <v>156</v>
      </c>
      <c r="AI51" s="72" t="s">
        <v>584</v>
      </c>
      <c r="AJ51" s="72" t="s">
        <v>156</v>
      </c>
      <c r="AK51" s="72" t="s">
        <v>585</v>
      </c>
      <c r="AL51" s="72" t="s">
        <v>586</v>
      </c>
      <c r="AM51" s="72" t="s">
        <v>587</v>
      </c>
      <c r="AN51" s="72" t="s">
        <v>156</v>
      </c>
      <c r="AO51" s="72" t="s">
        <v>588</v>
      </c>
      <c r="AP51" s="72" t="s">
        <v>398</v>
      </c>
      <c r="AQ51" s="72" t="s">
        <v>156</v>
      </c>
      <c r="AR51" s="72" t="s">
        <v>156</v>
      </c>
      <c r="AS51" s="72" t="s">
        <v>364</v>
      </c>
      <c r="AT51" s="72" t="s">
        <v>156</v>
      </c>
      <c r="AU51" s="72" t="s">
        <v>156</v>
      </c>
      <c r="AV51" s="72" t="s">
        <v>156</v>
      </c>
      <c r="AW51" s="181"/>
      <c r="AX51" s="179"/>
      <c r="AY51" s="72">
        <v>5</v>
      </c>
    </row>
    <row r="52" spans="1:51" s="73" customFormat="1" ht="20.149999999999999" customHeight="1" x14ac:dyDescent="0.35">
      <c r="A52" s="72" t="s">
        <v>599</v>
      </c>
      <c r="B52" s="72" t="s">
        <v>168</v>
      </c>
      <c r="C52" s="72" t="s">
        <v>344</v>
      </c>
      <c r="D52" s="72" t="s">
        <v>345</v>
      </c>
      <c r="E52" s="72" t="s">
        <v>156</v>
      </c>
      <c r="F52" s="72" t="s">
        <v>156</v>
      </c>
      <c r="G52" s="72" t="s">
        <v>156</v>
      </c>
      <c r="H52" s="72" t="s">
        <v>381</v>
      </c>
      <c r="I52" s="72" t="str">
        <f t="shared" si="1"/>
        <v>A valid SSO SSJ Journey for Connect FWA</v>
      </c>
      <c r="J52" s="72" t="s">
        <v>347</v>
      </c>
      <c r="K52" s="72" t="s">
        <v>346</v>
      </c>
      <c r="L52" s="72" t="s">
        <v>368</v>
      </c>
      <c r="M52" s="72" t="s">
        <v>600</v>
      </c>
      <c r="N52" s="72" t="s">
        <v>601</v>
      </c>
      <c r="O52" s="72" t="s">
        <v>156</v>
      </c>
      <c r="P52" s="72" t="s">
        <v>602</v>
      </c>
      <c r="Q52" s="72" t="s">
        <v>156</v>
      </c>
      <c r="R52" s="72" t="s">
        <v>156</v>
      </c>
      <c r="S52" s="72" t="s">
        <v>156</v>
      </c>
      <c r="T52" s="72" t="s">
        <v>156</v>
      </c>
      <c r="U52" s="72" t="s">
        <v>156</v>
      </c>
      <c r="V52" s="72" t="s">
        <v>156</v>
      </c>
      <c r="W52" s="72" t="s">
        <v>354</v>
      </c>
      <c r="X52" s="72" t="s">
        <v>156</v>
      </c>
      <c r="Y52" s="72" t="s">
        <v>156</v>
      </c>
      <c r="Z52" s="72" t="s">
        <v>156</v>
      </c>
      <c r="AA52" s="72" t="s">
        <v>583</v>
      </c>
      <c r="AB52" s="72" t="s">
        <v>156</v>
      </c>
      <c r="AC52" s="72" t="s">
        <v>156</v>
      </c>
      <c r="AD52" s="72" t="s">
        <v>156</v>
      </c>
      <c r="AE52" s="72" t="s">
        <v>156</v>
      </c>
      <c r="AF52" s="72" t="s">
        <v>156</v>
      </c>
      <c r="AG52" s="72" t="s">
        <v>156</v>
      </c>
      <c r="AH52" s="72" t="s">
        <v>156</v>
      </c>
      <c r="AI52" s="72" t="s">
        <v>592</v>
      </c>
      <c r="AJ52" s="72" t="s">
        <v>156</v>
      </c>
      <c r="AK52" s="72" t="s">
        <v>593</v>
      </c>
      <c r="AL52" s="72" t="s">
        <v>603</v>
      </c>
      <c r="AM52" s="72" t="s">
        <v>604</v>
      </c>
      <c r="AN52" s="72" t="s">
        <v>156</v>
      </c>
      <c r="AO52" s="72" t="s">
        <v>397</v>
      </c>
      <c r="AP52" s="72" t="s">
        <v>398</v>
      </c>
      <c r="AQ52" s="72" t="s">
        <v>156</v>
      </c>
      <c r="AR52" s="72" t="s">
        <v>156</v>
      </c>
      <c r="AS52" s="72" t="s">
        <v>337</v>
      </c>
      <c r="AT52" s="72" t="s">
        <v>156</v>
      </c>
      <c r="AU52" s="72" t="s">
        <v>156</v>
      </c>
      <c r="AV52" s="72" t="s">
        <v>156</v>
      </c>
      <c r="AW52" s="181"/>
      <c r="AX52" s="179"/>
      <c r="AY52" s="72">
        <v>5</v>
      </c>
    </row>
    <row r="53" spans="1:51" s="73" customFormat="1" ht="20.149999999999999" customHeight="1" x14ac:dyDescent="0.35">
      <c r="A53" s="72" t="s">
        <v>605</v>
      </c>
      <c r="B53" s="72" t="s">
        <v>168</v>
      </c>
      <c r="C53" s="72" t="s">
        <v>400</v>
      </c>
      <c r="D53" s="72" t="s">
        <v>345</v>
      </c>
      <c r="E53" s="72" t="s">
        <v>156</v>
      </c>
      <c r="F53" s="72" t="s">
        <v>381</v>
      </c>
      <c r="G53" s="72" t="s">
        <v>156</v>
      </c>
      <c r="H53" s="72" t="s">
        <v>156</v>
      </c>
      <c r="I53" s="72" t="str">
        <f t="shared" si="1"/>
        <v>A valid SSO SSJ Journey for Connect FWA</v>
      </c>
      <c r="J53" s="72" t="s">
        <v>347</v>
      </c>
      <c r="K53" s="72" t="s">
        <v>346</v>
      </c>
      <c r="L53" s="72" t="s">
        <v>414</v>
      </c>
      <c r="M53" s="72" t="s">
        <v>590</v>
      </c>
      <c r="N53" s="72" t="s">
        <v>582</v>
      </c>
      <c r="O53" s="72" t="s">
        <v>156</v>
      </c>
      <c r="P53" s="72" t="s">
        <v>156</v>
      </c>
      <c r="Q53" s="72" t="s">
        <v>156</v>
      </c>
      <c r="R53" s="72" t="s">
        <v>156</v>
      </c>
      <c r="S53" s="72" t="s">
        <v>156</v>
      </c>
      <c r="T53" s="72" t="s">
        <v>156</v>
      </c>
      <c r="U53" s="72" t="s">
        <v>156</v>
      </c>
      <c r="V53" s="72" t="s">
        <v>156</v>
      </c>
      <c r="W53" s="72" t="s">
        <v>354</v>
      </c>
      <c r="X53" s="72" t="s">
        <v>156</v>
      </c>
      <c r="Y53" s="72" t="s">
        <v>156</v>
      </c>
      <c r="Z53" s="72" t="s">
        <v>156</v>
      </c>
      <c r="AA53" s="72" t="s">
        <v>583</v>
      </c>
      <c r="AB53" s="72" t="s">
        <v>156</v>
      </c>
      <c r="AC53" s="72" t="s">
        <v>156</v>
      </c>
      <c r="AD53" s="72" t="s">
        <v>156</v>
      </c>
      <c r="AE53" s="72" t="s">
        <v>156</v>
      </c>
      <c r="AF53" s="72" t="s">
        <v>156</v>
      </c>
      <c r="AG53" s="72" t="s">
        <v>156</v>
      </c>
      <c r="AH53" s="72" t="s">
        <v>156</v>
      </c>
      <c r="AI53" s="72" t="s">
        <v>584</v>
      </c>
      <c r="AJ53" s="72" t="s">
        <v>156</v>
      </c>
      <c r="AK53" s="72" t="s">
        <v>585</v>
      </c>
      <c r="AL53" s="72" t="s">
        <v>586</v>
      </c>
      <c r="AM53" s="72" t="s">
        <v>587</v>
      </c>
      <c r="AN53" s="72" t="s">
        <v>156</v>
      </c>
      <c r="AO53" s="72" t="s">
        <v>588</v>
      </c>
      <c r="AP53" s="72" t="s">
        <v>398</v>
      </c>
      <c r="AQ53" s="72" t="s">
        <v>156</v>
      </c>
      <c r="AR53" s="72" t="s">
        <v>156</v>
      </c>
      <c r="AS53" s="72" t="s">
        <v>337</v>
      </c>
      <c r="AT53" s="72" t="s">
        <v>156</v>
      </c>
      <c r="AU53" s="72" t="s">
        <v>156</v>
      </c>
      <c r="AV53" s="72" t="s">
        <v>156</v>
      </c>
      <c r="AW53" s="181"/>
      <c r="AX53" s="179"/>
      <c r="AY53" s="72">
        <v>5</v>
      </c>
    </row>
    <row r="54" spans="1:51" s="73" customFormat="1" ht="20.149999999999999" customHeight="1" x14ac:dyDescent="0.35">
      <c r="A54" s="72" t="s">
        <v>606</v>
      </c>
      <c r="B54" s="72" t="s">
        <v>168</v>
      </c>
      <c r="C54" s="72" t="s">
        <v>344</v>
      </c>
      <c r="D54" s="72" t="s">
        <v>345</v>
      </c>
      <c r="E54" s="72" t="s">
        <v>156</v>
      </c>
      <c r="F54" s="72" t="s">
        <v>156</v>
      </c>
      <c r="G54" s="72" t="s">
        <v>381</v>
      </c>
      <c r="H54" s="72" t="s">
        <v>156</v>
      </c>
      <c r="I54" s="72" t="str">
        <f t="shared" si="1"/>
        <v>A valid SSO SSJ Journey for Connect FWA</v>
      </c>
      <c r="J54" s="72" t="s">
        <v>347</v>
      </c>
      <c r="K54" s="72" t="s">
        <v>346</v>
      </c>
      <c r="L54" s="72" t="s">
        <v>368</v>
      </c>
      <c r="M54" s="72" t="s">
        <v>590</v>
      </c>
      <c r="N54" s="72" t="s">
        <v>591</v>
      </c>
      <c r="O54" s="72" t="s">
        <v>156</v>
      </c>
      <c r="P54" s="72" t="s">
        <v>156</v>
      </c>
      <c r="Q54" s="72" t="s">
        <v>156</v>
      </c>
      <c r="R54" s="72" t="s">
        <v>156</v>
      </c>
      <c r="S54" s="72" t="s">
        <v>156</v>
      </c>
      <c r="T54" s="72" t="s">
        <v>156</v>
      </c>
      <c r="U54" s="72" t="s">
        <v>156</v>
      </c>
      <c r="V54" s="72" t="s">
        <v>156</v>
      </c>
      <c r="W54" s="72" t="s">
        <v>354</v>
      </c>
      <c r="X54" s="72" t="s">
        <v>156</v>
      </c>
      <c r="Y54" s="72" t="s">
        <v>156</v>
      </c>
      <c r="Z54" s="72" t="s">
        <v>156</v>
      </c>
      <c r="AA54" s="72" t="s">
        <v>583</v>
      </c>
      <c r="AB54" s="72" t="s">
        <v>156</v>
      </c>
      <c r="AC54" s="72" t="s">
        <v>156</v>
      </c>
      <c r="AD54" s="72" t="s">
        <v>156</v>
      </c>
      <c r="AE54" s="72" t="s">
        <v>156</v>
      </c>
      <c r="AF54" s="72" t="s">
        <v>156</v>
      </c>
      <c r="AG54" s="72" t="s">
        <v>156</v>
      </c>
      <c r="AH54" s="72" t="s">
        <v>156</v>
      </c>
      <c r="AI54" s="72" t="s">
        <v>592</v>
      </c>
      <c r="AJ54" s="72" t="s">
        <v>156</v>
      </c>
      <c r="AK54" s="72" t="s">
        <v>593</v>
      </c>
      <c r="AL54" s="72" t="s">
        <v>607</v>
      </c>
      <c r="AM54" s="72" t="s">
        <v>608</v>
      </c>
      <c r="AN54" s="72" t="s">
        <v>156</v>
      </c>
      <c r="AO54" s="72" t="s">
        <v>397</v>
      </c>
      <c r="AP54" s="72" t="s">
        <v>398</v>
      </c>
      <c r="AQ54" s="72" t="s">
        <v>156</v>
      </c>
      <c r="AR54" s="72" t="s">
        <v>156</v>
      </c>
      <c r="AS54" s="72" t="s">
        <v>337</v>
      </c>
      <c r="AT54" s="72" t="s">
        <v>156</v>
      </c>
      <c r="AU54" s="72" t="s">
        <v>156</v>
      </c>
      <c r="AV54" s="72" t="s">
        <v>156</v>
      </c>
      <c r="AW54" s="181"/>
      <c r="AX54" s="179"/>
      <c r="AY54" s="72">
        <v>5</v>
      </c>
    </row>
    <row r="55" spans="1:51" s="76" customFormat="1" ht="20.149999999999999" customHeight="1" x14ac:dyDescent="0.35">
      <c r="A55" s="75" t="s">
        <v>609</v>
      </c>
      <c r="B55" s="75" t="s">
        <v>157</v>
      </c>
      <c r="C55" s="75" t="s">
        <v>400</v>
      </c>
      <c r="D55" s="75" t="s">
        <v>345</v>
      </c>
      <c r="E55" s="75" t="s">
        <v>156</v>
      </c>
      <c r="F55" s="75" t="s">
        <v>156</v>
      </c>
      <c r="G55" s="75" t="s">
        <v>156</v>
      </c>
      <c r="H55" s="75" t="s">
        <v>156</v>
      </c>
      <c r="I55" s="75" t="str">
        <f t="shared" si="1"/>
        <v>A valid SSO SSJ Journey for Connect Fixed - Vision</v>
      </c>
      <c r="J55" s="75" t="s">
        <v>346</v>
      </c>
      <c r="K55" s="75" t="s">
        <v>347</v>
      </c>
      <c r="L55" s="75" t="s">
        <v>368</v>
      </c>
      <c r="M55" s="75" t="s">
        <v>166</v>
      </c>
      <c r="N55" s="75" t="s">
        <v>610</v>
      </c>
      <c r="O55" s="75" t="s">
        <v>166</v>
      </c>
      <c r="P55" s="75" t="s">
        <v>156</v>
      </c>
      <c r="Q55" s="75" t="s">
        <v>156</v>
      </c>
      <c r="R55" s="75" t="s">
        <v>156</v>
      </c>
      <c r="S55" s="75" t="s">
        <v>156</v>
      </c>
      <c r="T55" s="75" t="s">
        <v>156</v>
      </c>
      <c r="U55" s="75" t="s">
        <v>156</v>
      </c>
      <c r="V55" s="75" t="s">
        <v>156</v>
      </c>
      <c r="W55" s="75" t="s">
        <v>354</v>
      </c>
      <c r="X55" s="75" t="s">
        <v>156</v>
      </c>
      <c r="Y55" s="75" t="s">
        <v>156</v>
      </c>
      <c r="Z55" s="75" t="s">
        <v>156</v>
      </c>
      <c r="AA55" s="75" t="s">
        <v>611</v>
      </c>
      <c r="AB55" s="75" t="s">
        <v>156</v>
      </c>
      <c r="AC55" s="75" t="s">
        <v>612</v>
      </c>
      <c r="AD55" s="75" t="s">
        <v>156</v>
      </c>
      <c r="AE55" s="75" t="s">
        <v>156</v>
      </c>
      <c r="AF55" s="75" t="s">
        <v>156</v>
      </c>
      <c r="AG55" s="75" t="s">
        <v>156</v>
      </c>
      <c r="AH55" s="75" t="s">
        <v>156</v>
      </c>
      <c r="AI55" s="86" t="s">
        <v>613</v>
      </c>
      <c r="AJ55" s="75" t="s">
        <v>156</v>
      </c>
      <c r="AK55" s="75" t="s">
        <v>614</v>
      </c>
      <c r="AL55" s="75" t="s">
        <v>615</v>
      </c>
      <c r="AM55" s="75" t="s">
        <v>616</v>
      </c>
      <c r="AN55" s="75" t="s">
        <v>156</v>
      </c>
      <c r="AO55" s="75" t="s">
        <v>363</v>
      </c>
      <c r="AP55" s="75" t="s">
        <v>156</v>
      </c>
      <c r="AQ55" s="75" t="s">
        <v>156</v>
      </c>
      <c r="AR55" s="75" t="s">
        <v>156</v>
      </c>
      <c r="AS55" s="75" t="s">
        <v>364</v>
      </c>
      <c r="AT55" s="75" t="s">
        <v>156</v>
      </c>
      <c r="AU55" s="75" t="s">
        <v>156</v>
      </c>
      <c r="AV55" s="75" t="s">
        <v>156</v>
      </c>
      <c r="AW55" s="181"/>
      <c r="AX55" s="179"/>
      <c r="AY55" s="75">
        <v>6</v>
      </c>
    </row>
    <row r="56" spans="1:51" s="76" customFormat="1" ht="20.149999999999999" customHeight="1" x14ac:dyDescent="0.35">
      <c r="A56" s="75" t="s">
        <v>617</v>
      </c>
      <c r="B56" s="75" t="s">
        <v>157</v>
      </c>
      <c r="C56" s="75" t="s">
        <v>344</v>
      </c>
      <c r="D56" s="75" t="s">
        <v>345</v>
      </c>
      <c r="E56" s="75" t="s">
        <v>156</v>
      </c>
      <c r="F56" s="75" t="s">
        <v>156</v>
      </c>
      <c r="G56" s="75" t="s">
        <v>156</v>
      </c>
      <c r="H56" s="75" t="s">
        <v>156</v>
      </c>
      <c r="I56" s="75" t="str">
        <f t="shared" si="1"/>
        <v>A valid SSO SSJ Journey for Connect Fixed - Vision</v>
      </c>
      <c r="J56" s="75" t="s">
        <v>346</v>
      </c>
      <c r="K56" s="75" t="s">
        <v>347</v>
      </c>
      <c r="L56" s="75" t="s">
        <v>368</v>
      </c>
      <c r="M56" s="75" t="s">
        <v>166</v>
      </c>
      <c r="N56" s="75" t="s">
        <v>618</v>
      </c>
      <c r="O56" s="75" t="s">
        <v>166</v>
      </c>
      <c r="P56" s="75" t="s">
        <v>156</v>
      </c>
      <c r="Q56" s="75" t="s">
        <v>156</v>
      </c>
      <c r="R56" s="75" t="s">
        <v>156</v>
      </c>
      <c r="S56" s="75" t="s">
        <v>156</v>
      </c>
      <c r="T56" s="75" t="s">
        <v>156</v>
      </c>
      <c r="U56" s="75" t="s">
        <v>156</v>
      </c>
      <c r="V56" s="75" t="s">
        <v>156</v>
      </c>
      <c r="W56" s="75" t="s">
        <v>354</v>
      </c>
      <c r="X56" s="75" t="s">
        <v>156</v>
      </c>
      <c r="Y56" s="75" t="s">
        <v>156</v>
      </c>
      <c r="Z56" s="75" t="s">
        <v>156</v>
      </c>
      <c r="AA56" s="75" t="s">
        <v>611</v>
      </c>
      <c r="AB56" s="75" t="s">
        <v>156</v>
      </c>
      <c r="AC56" s="75" t="s">
        <v>612</v>
      </c>
      <c r="AD56" s="75" t="s">
        <v>156</v>
      </c>
      <c r="AE56" s="75" t="s">
        <v>156</v>
      </c>
      <c r="AF56" s="75" t="s">
        <v>156</v>
      </c>
      <c r="AG56" s="75" t="s">
        <v>156</v>
      </c>
      <c r="AH56" s="75" t="s">
        <v>156</v>
      </c>
      <c r="AI56" s="86" t="s">
        <v>613</v>
      </c>
      <c r="AJ56" s="75" t="s">
        <v>156</v>
      </c>
      <c r="AK56" s="75" t="s">
        <v>614</v>
      </c>
      <c r="AL56" s="75" t="s">
        <v>619</v>
      </c>
      <c r="AM56" s="75" t="s">
        <v>620</v>
      </c>
      <c r="AN56" s="75" t="s">
        <v>156</v>
      </c>
      <c r="AO56" s="75" t="s">
        <v>588</v>
      </c>
      <c r="AP56" s="75" t="s">
        <v>398</v>
      </c>
      <c r="AQ56" s="75" t="s">
        <v>156</v>
      </c>
      <c r="AR56" s="75" t="s">
        <v>156</v>
      </c>
      <c r="AS56" s="75" t="s">
        <v>364</v>
      </c>
      <c r="AT56" s="75" t="s">
        <v>156</v>
      </c>
      <c r="AU56" s="75" t="s">
        <v>156</v>
      </c>
      <c r="AV56" s="75" t="s">
        <v>156</v>
      </c>
      <c r="AW56" s="181"/>
      <c r="AX56" s="179"/>
      <c r="AY56" s="75">
        <v>5</v>
      </c>
    </row>
    <row r="57" spans="1:51" s="76" customFormat="1" ht="20.149999999999999" customHeight="1" x14ac:dyDescent="0.35">
      <c r="A57" s="75" t="s">
        <v>621</v>
      </c>
      <c r="B57" s="75" t="s">
        <v>168</v>
      </c>
      <c r="C57" s="75" t="s">
        <v>400</v>
      </c>
      <c r="D57" s="75" t="s">
        <v>345</v>
      </c>
      <c r="E57" s="75" t="s">
        <v>381</v>
      </c>
      <c r="F57" s="75" t="s">
        <v>156</v>
      </c>
      <c r="G57" s="75" t="s">
        <v>156</v>
      </c>
      <c r="H57" s="75" t="s">
        <v>156</v>
      </c>
      <c r="I57" s="75" t="str">
        <f t="shared" si="1"/>
        <v>A valid SSO SSJ Journey for Connect Fixed - Vision</v>
      </c>
      <c r="J57" s="75" t="s">
        <v>346</v>
      </c>
      <c r="K57" s="75" t="s">
        <v>347</v>
      </c>
      <c r="L57" s="75" t="s">
        <v>368</v>
      </c>
      <c r="M57" s="75" t="s">
        <v>166</v>
      </c>
      <c r="N57" s="75" t="s">
        <v>622</v>
      </c>
      <c r="O57" s="75" t="s">
        <v>166</v>
      </c>
      <c r="P57" s="75" t="s">
        <v>156</v>
      </c>
      <c r="Q57" s="75" t="s">
        <v>156</v>
      </c>
      <c r="R57" s="75" t="s">
        <v>156</v>
      </c>
      <c r="S57" s="75" t="s">
        <v>156</v>
      </c>
      <c r="T57" s="75" t="s">
        <v>156</v>
      </c>
      <c r="U57" s="75" t="s">
        <v>156</v>
      </c>
      <c r="V57" s="75" t="s">
        <v>156</v>
      </c>
      <c r="W57" s="75" t="s">
        <v>354</v>
      </c>
      <c r="X57" s="75" t="s">
        <v>156</v>
      </c>
      <c r="Y57" s="75" t="s">
        <v>156</v>
      </c>
      <c r="Z57" s="75" t="s">
        <v>156</v>
      </c>
      <c r="AA57" s="75" t="s">
        <v>611</v>
      </c>
      <c r="AB57" s="75" t="s">
        <v>156</v>
      </c>
      <c r="AC57" s="75" t="s">
        <v>522</v>
      </c>
      <c r="AD57" s="75" t="s">
        <v>156</v>
      </c>
      <c r="AE57" s="75" t="s">
        <v>156</v>
      </c>
      <c r="AF57" s="75" t="s">
        <v>156</v>
      </c>
      <c r="AG57" s="75" t="s">
        <v>156</v>
      </c>
      <c r="AH57" s="75" t="s">
        <v>156</v>
      </c>
      <c r="AI57" s="86" t="s">
        <v>623</v>
      </c>
      <c r="AJ57" s="75" t="s">
        <v>156</v>
      </c>
      <c r="AK57" s="75" t="s">
        <v>614</v>
      </c>
      <c r="AL57" s="75" t="s">
        <v>624</v>
      </c>
      <c r="AM57" s="75" t="s">
        <v>625</v>
      </c>
      <c r="AN57" s="75" t="s">
        <v>156</v>
      </c>
      <c r="AO57" s="75" t="s">
        <v>363</v>
      </c>
      <c r="AP57" s="75" t="s">
        <v>156</v>
      </c>
      <c r="AQ57" s="75" t="s">
        <v>156</v>
      </c>
      <c r="AR57" s="75" t="s">
        <v>156</v>
      </c>
      <c r="AS57" s="75" t="s">
        <v>337</v>
      </c>
      <c r="AT57" s="75" t="s">
        <v>156</v>
      </c>
      <c r="AU57" s="75" t="s">
        <v>156</v>
      </c>
      <c r="AV57" s="75" t="s">
        <v>156</v>
      </c>
      <c r="AW57" s="181"/>
      <c r="AX57" s="179"/>
      <c r="AY57" s="75">
        <v>5</v>
      </c>
    </row>
    <row r="58" spans="1:51" s="76" customFormat="1" ht="20.149999999999999" customHeight="1" x14ac:dyDescent="0.35">
      <c r="A58" s="75" t="s">
        <v>626</v>
      </c>
      <c r="B58" s="75" t="s">
        <v>168</v>
      </c>
      <c r="C58" s="75" t="s">
        <v>344</v>
      </c>
      <c r="D58" s="75" t="s">
        <v>345</v>
      </c>
      <c r="E58" s="75" t="s">
        <v>156</v>
      </c>
      <c r="F58" s="75" t="s">
        <v>156</v>
      </c>
      <c r="G58" s="75" t="s">
        <v>156</v>
      </c>
      <c r="H58" s="75" t="s">
        <v>381</v>
      </c>
      <c r="I58" s="75" t="str">
        <f t="shared" si="1"/>
        <v>A valid SSO SSJ Journey for Connect Fixed - Vision</v>
      </c>
      <c r="J58" s="75" t="s">
        <v>347</v>
      </c>
      <c r="K58" s="75" t="s">
        <v>346</v>
      </c>
      <c r="L58" s="75" t="s">
        <v>414</v>
      </c>
      <c r="M58" s="75" t="s">
        <v>166</v>
      </c>
      <c r="N58" s="75" t="s">
        <v>627</v>
      </c>
      <c r="O58" s="75" t="s">
        <v>166</v>
      </c>
      <c r="P58" s="75" t="s">
        <v>156</v>
      </c>
      <c r="Q58" s="75" t="s">
        <v>156</v>
      </c>
      <c r="R58" s="75" t="s">
        <v>156</v>
      </c>
      <c r="S58" s="75" t="s">
        <v>156</v>
      </c>
      <c r="T58" s="75" t="s">
        <v>156</v>
      </c>
      <c r="U58" s="75" t="s">
        <v>156</v>
      </c>
      <c r="V58" s="75" t="s">
        <v>156</v>
      </c>
      <c r="W58" s="75" t="s">
        <v>354</v>
      </c>
      <c r="X58" s="75" t="s">
        <v>156</v>
      </c>
      <c r="Y58" s="75" t="s">
        <v>156</v>
      </c>
      <c r="Z58" s="75" t="s">
        <v>156</v>
      </c>
      <c r="AA58" s="75" t="s">
        <v>611</v>
      </c>
      <c r="AB58" s="75" t="s">
        <v>156</v>
      </c>
      <c r="AC58" s="75" t="s">
        <v>612</v>
      </c>
      <c r="AD58" s="75" t="s">
        <v>156</v>
      </c>
      <c r="AE58" s="75" t="s">
        <v>156</v>
      </c>
      <c r="AF58" s="75" t="s">
        <v>156</v>
      </c>
      <c r="AG58" s="75" t="s">
        <v>156</v>
      </c>
      <c r="AH58" s="75" t="s">
        <v>156</v>
      </c>
      <c r="AI58" s="86" t="s">
        <v>628</v>
      </c>
      <c r="AJ58" s="75" t="s">
        <v>156</v>
      </c>
      <c r="AK58" s="75" t="s">
        <v>629</v>
      </c>
      <c r="AL58" s="75" t="s">
        <v>630</v>
      </c>
      <c r="AM58" s="75" t="s">
        <v>620</v>
      </c>
      <c r="AN58" s="75" t="s">
        <v>156</v>
      </c>
      <c r="AO58" s="75" t="s">
        <v>588</v>
      </c>
      <c r="AP58" s="75" t="s">
        <v>424</v>
      </c>
      <c r="AQ58" s="75" t="s">
        <v>156</v>
      </c>
      <c r="AR58" s="75" t="s">
        <v>156</v>
      </c>
      <c r="AS58" s="75" t="s">
        <v>337</v>
      </c>
      <c r="AT58" s="75" t="s">
        <v>425</v>
      </c>
      <c r="AU58" s="75" t="s">
        <v>426</v>
      </c>
      <c r="AV58" s="75" t="s">
        <v>427</v>
      </c>
      <c r="AW58" s="181"/>
      <c r="AX58" s="179"/>
      <c r="AY58" s="75">
        <v>5</v>
      </c>
    </row>
    <row r="59" spans="1:51" s="76" customFormat="1" ht="20.149999999999999" customHeight="1" x14ac:dyDescent="0.35">
      <c r="A59" s="75" t="s">
        <v>631</v>
      </c>
      <c r="B59" s="75" t="s">
        <v>157</v>
      </c>
      <c r="C59" s="75" t="s">
        <v>400</v>
      </c>
      <c r="D59" s="75" t="s">
        <v>345</v>
      </c>
      <c r="E59" s="75" t="s">
        <v>156</v>
      </c>
      <c r="F59" s="75" t="s">
        <v>156</v>
      </c>
      <c r="G59" s="75" t="s">
        <v>156</v>
      </c>
      <c r="H59" s="75" t="s">
        <v>156</v>
      </c>
      <c r="I59" s="75" t="str">
        <f t="shared" si="1"/>
        <v>A valid SSO SSJ Journey for Connect Fixed - Vision</v>
      </c>
      <c r="J59" s="75" t="s">
        <v>346</v>
      </c>
      <c r="K59" s="75" t="s">
        <v>347</v>
      </c>
      <c r="L59" s="75" t="s">
        <v>368</v>
      </c>
      <c r="M59" s="75" t="s">
        <v>632</v>
      </c>
      <c r="N59" s="75" t="s">
        <v>633</v>
      </c>
      <c r="O59" s="75" t="s">
        <v>159</v>
      </c>
      <c r="P59" s="75" t="s">
        <v>634</v>
      </c>
      <c r="Q59" s="75" t="s">
        <v>156</v>
      </c>
      <c r="R59" s="75" t="s">
        <v>156</v>
      </c>
      <c r="S59" s="75" t="s">
        <v>156</v>
      </c>
      <c r="T59" s="75" t="s">
        <v>156</v>
      </c>
      <c r="U59" s="75" t="s">
        <v>156</v>
      </c>
      <c r="V59" s="75" t="s">
        <v>156</v>
      </c>
      <c r="W59" s="75" t="s">
        <v>354</v>
      </c>
      <c r="X59" s="75" t="s">
        <v>156</v>
      </c>
      <c r="Y59" s="75" t="s">
        <v>156</v>
      </c>
      <c r="Z59" s="75" t="s">
        <v>156</v>
      </c>
      <c r="AA59" s="75" t="s">
        <v>611</v>
      </c>
      <c r="AB59" s="75" t="s">
        <v>156</v>
      </c>
      <c r="AC59" s="75" t="s">
        <v>522</v>
      </c>
      <c r="AD59" s="75" t="s">
        <v>156</v>
      </c>
      <c r="AE59" s="75" t="s">
        <v>156</v>
      </c>
      <c r="AF59" s="75" t="s">
        <v>156</v>
      </c>
      <c r="AG59" s="75" t="s">
        <v>156</v>
      </c>
      <c r="AH59" s="75" t="s">
        <v>156</v>
      </c>
      <c r="AI59" s="86" t="s">
        <v>623</v>
      </c>
      <c r="AJ59" s="75" t="s">
        <v>156</v>
      </c>
      <c r="AK59" s="75" t="s">
        <v>614</v>
      </c>
      <c r="AL59" s="75" t="s">
        <v>635</v>
      </c>
      <c r="AM59" s="75" t="s">
        <v>451</v>
      </c>
      <c r="AN59" s="75" t="s">
        <v>156</v>
      </c>
      <c r="AO59" s="75" t="s">
        <v>588</v>
      </c>
      <c r="AP59" s="75" t="s">
        <v>398</v>
      </c>
      <c r="AQ59" s="75" t="s">
        <v>156</v>
      </c>
      <c r="AR59" s="75" t="s">
        <v>156</v>
      </c>
      <c r="AS59" s="75" t="s">
        <v>364</v>
      </c>
      <c r="AT59" s="75" t="s">
        <v>156</v>
      </c>
      <c r="AU59" s="75" t="s">
        <v>156</v>
      </c>
      <c r="AV59" s="75" t="s">
        <v>156</v>
      </c>
      <c r="AW59" s="181"/>
      <c r="AX59" s="179"/>
      <c r="AY59" s="75">
        <v>5</v>
      </c>
    </row>
    <row r="60" spans="1:51" s="76" customFormat="1" ht="20.149999999999999" customHeight="1" x14ac:dyDescent="0.35">
      <c r="A60" s="75" t="s">
        <v>636</v>
      </c>
      <c r="B60" s="75" t="s">
        <v>157</v>
      </c>
      <c r="C60" s="75" t="s">
        <v>344</v>
      </c>
      <c r="D60" s="75" t="s">
        <v>345</v>
      </c>
      <c r="E60" s="75" t="s">
        <v>156</v>
      </c>
      <c r="F60" s="75" t="s">
        <v>156</v>
      </c>
      <c r="G60" s="75" t="s">
        <v>156</v>
      </c>
      <c r="H60" s="75" t="s">
        <v>156</v>
      </c>
      <c r="I60" s="75" t="str">
        <f t="shared" si="1"/>
        <v>A valid SSO SSJ Journey for Connect Fixed - Vision</v>
      </c>
      <c r="J60" s="75" t="s">
        <v>346</v>
      </c>
      <c r="K60" s="75" t="s">
        <v>347</v>
      </c>
      <c r="L60" s="75" t="s">
        <v>414</v>
      </c>
      <c r="M60" s="75" t="s">
        <v>632</v>
      </c>
      <c r="N60" s="75" t="s">
        <v>637</v>
      </c>
      <c r="O60" s="75" t="s">
        <v>159</v>
      </c>
      <c r="P60" s="75" t="s">
        <v>634</v>
      </c>
      <c r="Q60" s="75" t="s">
        <v>156</v>
      </c>
      <c r="R60" s="75" t="s">
        <v>156</v>
      </c>
      <c r="S60" s="75" t="s">
        <v>156</v>
      </c>
      <c r="T60" s="75" t="s">
        <v>156</v>
      </c>
      <c r="U60" s="75" t="s">
        <v>156</v>
      </c>
      <c r="V60" s="75" t="s">
        <v>156</v>
      </c>
      <c r="W60" s="75" t="s">
        <v>354</v>
      </c>
      <c r="X60" s="75" t="s">
        <v>156</v>
      </c>
      <c r="Y60" s="75" t="s">
        <v>156</v>
      </c>
      <c r="Z60" s="75" t="s">
        <v>156</v>
      </c>
      <c r="AA60" s="75" t="s">
        <v>611</v>
      </c>
      <c r="AB60" s="75" t="s">
        <v>156</v>
      </c>
      <c r="AC60" s="75" t="s">
        <v>522</v>
      </c>
      <c r="AD60" s="75" t="s">
        <v>156</v>
      </c>
      <c r="AE60" s="75" t="s">
        <v>156</v>
      </c>
      <c r="AF60" s="75" t="s">
        <v>156</v>
      </c>
      <c r="AG60" s="75" t="s">
        <v>156</v>
      </c>
      <c r="AH60" s="75" t="s">
        <v>156</v>
      </c>
      <c r="AI60" s="86" t="s">
        <v>623</v>
      </c>
      <c r="AJ60" s="75" t="s">
        <v>156</v>
      </c>
      <c r="AK60" s="115" t="s">
        <v>629</v>
      </c>
      <c r="AL60" s="115" t="s">
        <v>630</v>
      </c>
      <c r="AM60" s="75" t="s">
        <v>620</v>
      </c>
      <c r="AN60" s="115" t="s">
        <v>638</v>
      </c>
      <c r="AO60" s="75" t="s">
        <v>363</v>
      </c>
      <c r="AP60" s="75" t="s">
        <v>156</v>
      </c>
      <c r="AQ60" s="75" t="s">
        <v>156</v>
      </c>
      <c r="AR60" s="75" t="s">
        <v>156</v>
      </c>
      <c r="AS60" s="75" t="s">
        <v>364</v>
      </c>
      <c r="AT60" s="75" t="s">
        <v>156</v>
      </c>
      <c r="AU60" s="75" t="s">
        <v>156</v>
      </c>
      <c r="AV60" s="75" t="s">
        <v>156</v>
      </c>
      <c r="AW60" s="181"/>
      <c r="AX60" s="179"/>
      <c r="AY60" s="75">
        <v>6</v>
      </c>
    </row>
    <row r="61" spans="1:51" s="73" customFormat="1" ht="20.149999999999999" customHeight="1" x14ac:dyDescent="0.35">
      <c r="A61" s="72" t="s">
        <v>639</v>
      </c>
      <c r="B61" s="72" t="s">
        <v>157</v>
      </c>
      <c r="C61" s="72" t="s">
        <v>400</v>
      </c>
      <c r="D61" s="72" t="s">
        <v>345</v>
      </c>
      <c r="E61" s="72" t="s">
        <v>156</v>
      </c>
      <c r="F61" s="72" t="s">
        <v>156</v>
      </c>
      <c r="G61" s="72" t="s">
        <v>156</v>
      </c>
      <c r="H61" s="72" t="s">
        <v>156</v>
      </c>
      <c r="I61" s="72" t="str">
        <f t="shared" si="1"/>
        <v>A valid SSO SSJ Journey for Connect Fixed - Opticomm</v>
      </c>
      <c r="J61" s="72" t="s">
        <v>346</v>
      </c>
      <c r="K61" s="72" t="s">
        <v>347</v>
      </c>
      <c r="L61" s="72" t="s">
        <v>368</v>
      </c>
      <c r="M61" s="72" t="s">
        <v>384</v>
      </c>
      <c r="N61" s="72" t="s">
        <v>349</v>
      </c>
      <c r="O61" s="72" t="s">
        <v>384</v>
      </c>
      <c r="P61" s="72" t="s">
        <v>156</v>
      </c>
      <c r="Q61" s="115" t="s">
        <v>640</v>
      </c>
      <c r="R61" s="72" t="s">
        <v>347</v>
      </c>
      <c r="S61" s="72" t="s">
        <v>156</v>
      </c>
      <c r="T61" s="72" t="s">
        <v>352</v>
      </c>
      <c r="U61" s="72" t="s">
        <v>353</v>
      </c>
      <c r="V61" s="72" t="s">
        <v>353</v>
      </c>
      <c r="W61" s="72" t="s">
        <v>354</v>
      </c>
      <c r="X61" s="72" t="s">
        <v>156</v>
      </c>
      <c r="Y61" s="72" t="s">
        <v>156</v>
      </c>
      <c r="Z61" s="72" t="s">
        <v>157</v>
      </c>
      <c r="AA61" s="72" t="s">
        <v>641</v>
      </c>
      <c r="AB61" s="72" t="s">
        <v>156</v>
      </c>
      <c r="AC61" s="72" t="s">
        <v>468</v>
      </c>
      <c r="AD61" s="72" t="s">
        <v>156</v>
      </c>
      <c r="AE61" s="72" t="s">
        <v>156</v>
      </c>
      <c r="AF61" s="72" t="s">
        <v>156</v>
      </c>
      <c r="AG61" s="72" t="s">
        <v>156</v>
      </c>
      <c r="AH61" s="72" t="s">
        <v>156</v>
      </c>
      <c r="AI61" s="77" t="s">
        <v>642</v>
      </c>
      <c r="AJ61" s="72" t="s">
        <v>156</v>
      </c>
      <c r="AK61" s="72" t="s">
        <v>643</v>
      </c>
      <c r="AL61" s="72" t="s">
        <v>644</v>
      </c>
      <c r="AM61" s="105" t="s">
        <v>645</v>
      </c>
      <c r="AN61" s="72" t="s">
        <v>156</v>
      </c>
      <c r="AO61" s="72" t="s">
        <v>397</v>
      </c>
      <c r="AP61" s="72" t="s">
        <v>398</v>
      </c>
      <c r="AQ61" s="72" t="s">
        <v>446</v>
      </c>
      <c r="AR61" s="72" t="s">
        <v>398</v>
      </c>
      <c r="AS61" s="72" t="s">
        <v>364</v>
      </c>
      <c r="AT61" s="72" t="s">
        <v>156</v>
      </c>
      <c r="AU61" s="72" t="s">
        <v>156</v>
      </c>
      <c r="AV61" s="72" t="s">
        <v>156</v>
      </c>
      <c r="AW61" s="181"/>
      <c r="AX61" s="179"/>
      <c r="AY61" s="72">
        <v>6</v>
      </c>
    </row>
    <row r="62" spans="1:51" s="73" customFormat="1" ht="20.149999999999999" customHeight="1" x14ac:dyDescent="0.35">
      <c r="A62" s="72" t="s">
        <v>646</v>
      </c>
      <c r="B62" s="72" t="s">
        <v>157</v>
      </c>
      <c r="C62" s="72" t="s">
        <v>344</v>
      </c>
      <c r="D62" s="72" t="s">
        <v>345</v>
      </c>
      <c r="E62" s="72" t="s">
        <v>156</v>
      </c>
      <c r="F62" s="72" t="s">
        <v>156</v>
      </c>
      <c r="G62" s="72" t="s">
        <v>156</v>
      </c>
      <c r="H62" s="72" t="s">
        <v>156</v>
      </c>
      <c r="I62" s="72" t="str">
        <f t="shared" si="1"/>
        <v>A valid SSO SSJ Journey for Connect Fixed - Opticomm</v>
      </c>
      <c r="J62" s="72" t="s">
        <v>346</v>
      </c>
      <c r="K62" s="72" t="s">
        <v>347</v>
      </c>
      <c r="L62" s="72" t="s">
        <v>414</v>
      </c>
      <c r="M62" s="72" t="s">
        <v>384</v>
      </c>
      <c r="N62" s="72" t="s">
        <v>349</v>
      </c>
      <c r="O62" s="72" t="s">
        <v>384</v>
      </c>
      <c r="P62" s="72" t="s">
        <v>156</v>
      </c>
      <c r="Q62" s="72" t="s">
        <v>156</v>
      </c>
      <c r="R62" s="72" t="s">
        <v>346</v>
      </c>
      <c r="S62" s="72" t="s">
        <v>156</v>
      </c>
      <c r="T62" s="72" t="s">
        <v>369</v>
      </c>
      <c r="U62" s="72" t="s">
        <v>156</v>
      </c>
      <c r="V62" s="72" t="s">
        <v>647</v>
      </c>
      <c r="W62" s="72" t="s">
        <v>354</v>
      </c>
      <c r="X62" s="72" t="s">
        <v>156</v>
      </c>
      <c r="Y62" s="72" t="s">
        <v>156</v>
      </c>
      <c r="Z62" s="72" t="s">
        <v>157</v>
      </c>
      <c r="AA62" s="72" t="s">
        <v>641</v>
      </c>
      <c r="AB62" s="72" t="s">
        <v>156</v>
      </c>
      <c r="AC62" s="72" t="s">
        <v>648</v>
      </c>
      <c r="AD62" s="72" t="s">
        <v>156</v>
      </c>
      <c r="AE62" s="72" t="s">
        <v>156</v>
      </c>
      <c r="AF62" s="72" t="s">
        <v>156</v>
      </c>
      <c r="AG62" s="72" t="s">
        <v>156</v>
      </c>
      <c r="AH62" s="72" t="s">
        <v>156</v>
      </c>
      <c r="AI62" s="77" t="s">
        <v>642</v>
      </c>
      <c r="AJ62" s="72" t="s">
        <v>156</v>
      </c>
      <c r="AK62" s="72" t="s">
        <v>643</v>
      </c>
      <c r="AL62" s="72" t="s">
        <v>649</v>
      </c>
      <c r="AM62" s="106" t="s">
        <v>650</v>
      </c>
      <c r="AN62" s="72" t="s">
        <v>156</v>
      </c>
      <c r="AO62" s="72" t="s">
        <v>363</v>
      </c>
      <c r="AP62" s="72" t="s">
        <v>156</v>
      </c>
      <c r="AQ62" s="72" t="s">
        <v>156</v>
      </c>
      <c r="AR62" s="72" t="s">
        <v>156</v>
      </c>
      <c r="AS62" s="72" t="s">
        <v>364</v>
      </c>
      <c r="AT62" s="72" t="s">
        <v>156</v>
      </c>
      <c r="AU62" s="72" t="s">
        <v>156</v>
      </c>
      <c r="AV62" s="72" t="s">
        <v>156</v>
      </c>
      <c r="AW62" s="181"/>
      <c r="AX62" s="179"/>
      <c r="AY62" s="72">
        <v>5</v>
      </c>
    </row>
    <row r="63" spans="1:51" s="73" customFormat="1" ht="20.149999999999999" customHeight="1" x14ac:dyDescent="0.35">
      <c r="A63" s="72" t="s">
        <v>651</v>
      </c>
      <c r="B63" s="72" t="s">
        <v>168</v>
      </c>
      <c r="C63" s="72" t="s">
        <v>344</v>
      </c>
      <c r="D63" s="72" t="s">
        <v>345</v>
      </c>
      <c r="E63" s="72" t="s">
        <v>156</v>
      </c>
      <c r="F63" s="72" t="s">
        <v>381</v>
      </c>
      <c r="G63" s="72" t="s">
        <v>156</v>
      </c>
      <c r="H63" s="72" t="s">
        <v>156</v>
      </c>
      <c r="I63" s="72" t="str">
        <f t="shared" si="1"/>
        <v>A valid SSO SSJ Journey for Connect Fixed - Service Transfer</v>
      </c>
      <c r="J63" s="74" t="s">
        <v>346</v>
      </c>
      <c r="K63" s="74" t="s">
        <v>347</v>
      </c>
      <c r="L63" s="72" t="s">
        <v>368</v>
      </c>
      <c r="M63" s="72" t="s">
        <v>384</v>
      </c>
      <c r="N63" s="72" t="s">
        <v>349</v>
      </c>
      <c r="O63" s="72" t="s">
        <v>384</v>
      </c>
      <c r="P63" s="72" t="s">
        <v>156</v>
      </c>
      <c r="Q63" s="72" t="s">
        <v>156</v>
      </c>
      <c r="R63" s="72" t="s">
        <v>346</v>
      </c>
      <c r="S63" s="72" t="s">
        <v>156</v>
      </c>
      <c r="T63" s="72" t="s">
        <v>369</v>
      </c>
      <c r="U63" s="72" t="s">
        <v>156</v>
      </c>
      <c r="V63" s="72" t="s">
        <v>652</v>
      </c>
      <c r="W63" s="72" t="s">
        <v>653</v>
      </c>
      <c r="X63" s="72" t="s">
        <v>156</v>
      </c>
      <c r="Y63" s="72" t="s">
        <v>156</v>
      </c>
      <c r="Z63" s="72" t="s">
        <v>405</v>
      </c>
      <c r="AA63" s="74" t="s">
        <v>406</v>
      </c>
      <c r="AB63" s="72" t="s">
        <v>156</v>
      </c>
      <c r="AC63" s="72" t="s">
        <v>361</v>
      </c>
      <c r="AD63" s="72" t="s">
        <v>156</v>
      </c>
      <c r="AE63" s="72" t="s">
        <v>156</v>
      </c>
      <c r="AF63" s="72" t="s">
        <v>156</v>
      </c>
      <c r="AG63" s="72" t="s">
        <v>156</v>
      </c>
      <c r="AH63" s="72" t="s">
        <v>156</v>
      </c>
      <c r="AI63" s="77" t="s">
        <v>654</v>
      </c>
      <c r="AJ63" s="72" t="s">
        <v>156</v>
      </c>
      <c r="AK63" s="72" t="s">
        <v>643</v>
      </c>
      <c r="AL63" s="72" t="s">
        <v>655</v>
      </c>
      <c r="AM63" s="106" t="s">
        <v>451</v>
      </c>
      <c r="AN63" s="72" t="s">
        <v>156</v>
      </c>
      <c r="AO63" s="72" t="s">
        <v>397</v>
      </c>
      <c r="AP63" s="72" t="s">
        <v>656</v>
      </c>
      <c r="AQ63" s="72" t="s">
        <v>446</v>
      </c>
      <c r="AR63" s="72" t="s">
        <v>424</v>
      </c>
      <c r="AS63" s="72" t="s">
        <v>337</v>
      </c>
      <c r="AT63" s="72" t="s">
        <v>425</v>
      </c>
      <c r="AU63" s="72" t="s">
        <v>426</v>
      </c>
      <c r="AV63" s="72" t="s">
        <v>427</v>
      </c>
      <c r="AW63" s="181"/>
      <c r="AX63" s="179"/>
      <c r="AY63" s="72">
        <v>5</v>
      </c>
    </row>
    <row r="64" spans="1:51" s="73" customFormat="1" ht="20.149999999999999" customHeight="1" x14ac:dyDescent="0.35">
      <c r="A64" s="72" t="s">
        <v>657</v>
      </c>
      <c r="B64" s="72" t="s">
        <v>157</v>
      </c>
      <c r="C64" s="72" t="s">
        <v>344</v>
      </c>
      <c r="D64" s="72" t="s">
        <v>345</v>
      </c>
      <c r="E64" s="72" t="s">
        <v>156</v>
      </c>
      <c r="F64" s="72" t="s">
        <v>156</v>
      </c>
      <c r="G64" s="72" t="s">
        <v>156</v>
      </c>
      <c r="H64" s="72" t="s">
        <v>156</v>
      </c>
      <c r="I64" s="72" t="str">
        <f t="shared" si="1"/>
        <v>A valid SSO SSJ Journey for Connect Fixed -Internal Loss (Legacy iiNET to VF(iiNet to VHA)</v>
      </c>
      <c r="J64" s="72" t="s">
        <v>346</v>
      </c>
      <c r="K64" s="72" t="s">
        <v>347</v>
      </c>
      <c r="L64" s="72" t="s">
        <v>368</v>
      </c>
      <c r="M64" s="72" t="s">
        <v>384</v>
      </c>
      <c r="N64" s="72" t="s">
        <v>349</v>
      </c>
      <c r="O64" s="72" t="s">
        <v>384</v>
      </c>
      <c r="P64" s="72" t="s">
        <v>156</v>
      </c>
      <c r="Q64" s="72" t="s">
        <v>156</v>
      </c>
      <c r="R64" s="72" t="s">
        <v>346</v>
      </c>
      <c r="S64" s="72" t="s">
        <v>156</v>
      </c>
      <c r="T64" s="72" t="s">
        <v>369</v>
      </c>
      <c r="U64" s="72" t="s">
        <v>156</v>
      </c>
      <c r="V64" s="72" t="s">
        <v>652</v>
      </c>
      <c r="W64" s="72" t="s">
        <v>653</v>
      </c>
      <c r="X64" s="72" t="s">
        <v>156</v>
      </c>
      <c r="Y64" s="72" t="s">
        <v>156</v>
      </c>
      <c r="Z64" s="72" t="s">
        <v>411</v>
      </c>
      <c r="AA64" s="72" t="s">
        <v>658</v>
      </c>
      <c r="AB64" s="72" t="s">
        <v>156</v>
      </c>
      <c r="AC64" s="72" t="s">
        <v>373</v>
      </c>
      <c r="AD64" s="72" t="s">
        <v>156</v>
      </c>
      <c r="AE64" s="72" t="s">
        <v>156</v>
      </c>
      <c r="AF64" s="72" t="s">
        <v>156</v>
      </c>
      <c r="AG64" s="72" t="s">
        <v>156</v>
      </c>
      <c r="AH64" s="72" t="s">
        <v>156</v>
      </c>
      <c r="AI64" s="77" t="s">
        <v>659</v>
      </c>
      <c r="AJ64" s="72" t="s">
        <v>156</v>
      </c>
      <c r="AK64" s="72" t="s">
        <v>660</v>
      </c>
      <c r="AL64" s="72" t="s">
        <v>661</v>
      </c>
      <c r="AM64" s="72" t="s">
        <v>361</v>
      </c>
      <c r="AN64" s="72" t="s">
        <v>156</v>
      </c>
      <c r="AO64" s="72" t="s">
        <v>363</v>
      </c>
      <c r="AP64" s="72" t="s">
        <v>156</v>
      </c>
      <c r="AQ64" s="72" t="s">
        <v>156</v>
      </c>
      <c r="AR64" s="72" t="s">
        <v>156</v>
      </c>
      <c r="AS64" s="72" t="s">
        <v>364</v>
      </c>
      <c r="AT64" s="72" t="s">
        <v>156</v>
      </c>
      <c r="AU64" s="72" t="s">
        <v>156</v>
      </c>
      <c r="AV64" s="72" t="s">
        <v>156</v>
      </c>
      <c r="AW64" s="181"/>
      <c r="AX64" s="179"/>
      <c r="AY64" s="72">
        <v>5</v>
      </c>
    </row>
    <row r="65" spans="1:51" s="73" customFormat="1" ht="20.149999999999999" customHeight="1" x14ac:dyDescent="0.35">
      <c r="A65" s="72" t="s">
        <v>662</v>
      </c>
      <c r="B65" s="72" t="s">
        <v>157</v>
      </c>
      <c r="C65" s="72" t="s">
        <v>344</v>
      </c>
      <c r="D65" s="72" t="s">
        <v>345</v>
      </c>
      <c r="E65" s="72" t="s">
        <v>156</v>
      </c>
      <c r="F65" s="72" t="s">
        <v>156</v>
      </c>
      <c r="G65" s="72" t="s">
        <v>156</v>
      </c>
      <c r="H65" s="72" t="s">
        <v>156</v>
      </c>
      <c r="I65" s="72" t="str">
        <f t="shared" si="1"/>
        <v>A valid SSO SSJ Journey for Connect Fixed -Internal Loss (VHA to iiNet)</v>
      </c>
      <c r="J65" s="72" t="s">
        <v>347</v>
      </c>
      <c r="K65" s="72" t="s">
        <v>346</v>
      </c>
      <c r="L65" s="72" t="s">
        <v>368</v>
      </c>
      <c r="M65" s="72" t="s">
        <v>384</v>
      </c>
      <c r="N65" s="72" t="s">
        <v>349</v>
      </c>
      <c r="O65" s="72" t="s">
        <v>384</v>
      </c>
      <c r="P65" s="72" t="s">
        <v>156</v>
      </c>
      <c r="Q65" s="72" t="s">
        <v>156</v>
      </c>
      <c r="R65" s="72" t="s">
        <v>346</v>
      </c>
      <c r="S65" s="72" t="s">
        <v>156</v>
      </c>
      <c r="T65" s="72" t="s">
        <v>369</v>
      </c>
      <c r="U65" s="72" t="s">
        <v>156</v>
      </c>
      <c r="V65" s="72" t="s">
        <v>652</v>
      </c>
      <c r="W65" s="72" t="s">
        <v>653</v>
      </c>
      <c r="X65" s="72" t="s">
        <v>156</v>
      </c>
      <c r="Y65" s="72" t="s">
        <v>156</v>
      </c>
      <c r="Z65" s="72" t="s">
        <v>411</v>
      </c>
      <c r="AA65" s="72" t="s">
        <v>663</v>
      </c>
      <c r="AB65" s="72" t="s">
        <v>156</v>
      </c>
      <c r="AC65" s="72" t="s">
        <v>361</v>
      </c>
      <c r="AD65" s="72" t="s">
        <v>156</v>
      </c>
      <c r="AE65" s="72" t="s">
        <v>156</v>
      </c>
      <c r="AF65" s="72" t="s">
        <v>156</v>
      </c>
      <c r="AG65" s="72" t="s">
        <v>156</v>
      </c>
      <c r="AH65" s="72" t="s">
        <v>156</v>
      </c>
      <c r="AI65" s="77" t="s">
        <v>654</v>
      </c>
      <c r="AJ65" s="72" t="s">
        <v>156</v>
      </c>
      <c r="AK65" s="72" t="s">
        <v>643</v>
      </c>
      <c r="AL65" s="72" t="s">
        <v>664</v>
      </c>
      <c r="AM65" s="72" t="s">
        <v>468</v>
      </c>
      <c r="AN65" s="72" t="s">
        <v>156</v>
      </c>
      <c r="AO65" s="72" t="s">
        <v>363</v>
      </c>
      <c r="AP65" s="72" t="s">
        <v>156</v>
      </c>
      <c r="AQ65" s="72" t="s">
        <v>156</v>
      </c>
      <c r="AR65" s="72" t="s">
        <v>156</v>
      </c>
      <c r="AS65" s="72" t="s">
        <v>364</v>
      </c>
      <c r="AT65" s="72" t="s">
        <v>156</v>
      </c>
      <c r="AU65" s="72" t="s">
        <v>156</v>
      </c>
      <c r="AV65" s="72" t="s">
        <v>156</v>
      </c>
      <c r="AW65" s="181"/>
      <c r="AX65" s="179"/>
      <c r="AY65" s="72">
        <v>5</v>
      </c>
    </row>
    <row r="66" spans="1:51" s="73" customFormat="1" ht="20.149999999999999" customHeight="1" x14ac:dyDescent="0.35">
      <c r="A66" s="72" t="s">
        <v>665</v>
      </c>
      <c r="B66" s="72" t="s">
        <v>157</v>
      </c>
      <c r="C66" s="72" t="s">
        <v>344</v>
      </c>
      <c r="D66" s="72" t="s">
        <v>345</v>
      </c>
      <c r="E66" s="72" t="s">
        <v>156</v>
      </c>
      <c r="F66" s="72" t="s">
        <v>156</v>
      </c>
      <c r="G66" s="72" t="s">
        <v>156</v>
      </c>
      <c r="H66" s="72" t="s">
        <v>156</v>
      </c>
      <c r="I66" s="72" t="str">
        <f t="shared" si="1"/>
        <v>A valid SSO SSJ Journey for Connect Fixed - Opticomm</v>
      </c>
      <c r="J66" s="72" t="s">
        <v>347</v>
      </c>
      <c r="K66" s="72" t="s">
        <v>346</v>
      </c>
      <c r="L66" s="72" t="s">
        <v>414</v>
      </c>
      <c r="M66" s="72" t="s">
        <v>666</v>
      </c>
      <c r="N66" s="72" t="s">
        <v>349</v>
      </c>
      <c r="O66" s="72" t="s">
        <v>166</v>
      </c>
      <c r="P66" s="72" t="s">
        <v>667</v>
      </c>
      <c r="Q66" s="72" t="s">
        <v>156</v>
      </c>
      <c r="R66" s="72" t="s">
        <v>346</v>
      </c>
      <c r="S66" s="72" t="s">
        <v>156</v>
      </c>
      <c r="T66" s="72" t="s">
        <v>668</v>
      </c>
      <c r="U66" s="72" t="s">
        <v>156</v>
      </c>
      <c r="V66" s="77" t="s">
        <v>647</v>
      </c>
      <c r="W66" s="72" t="s">
        <v>354</v>
      </c>
      <c r="X66" s="72" t="s">
        <v>156</v>
      </c>
      <c r="Y66" s="72" t="s">
        <v>156</v>
      </c>
      <c r="Z66" s="72" t="s">
        <v>157</v>
      </c>
      <c r="AA66" s="72" t="s">
        <v>641</v>
      </c>
      <c r="AB66" s="72" t="s">
        <v>156</v>
      </c>
      <c r="AC66" s="72" t="s">
        <v>373</v>
      </c>
      <c r="AD66" s="72" t="s">
        <v>156</v>
      </c>
      <c r="AE66" s="72" t="s">
        <v>156</v>
      </c>
      <c r="AF66" s="72" t="s">
        <v>156</v>
      </c>
      <c r="AG66" s="72" t="s">
        <v>156</v>
      </c>
      <c r="AH66" s="72" t="s">
        <v>156</v>
      </c>
      <c r="AI66" s="77" t="s">
        <v>669</v>
      </c>
      <c r="AJ66" s="72" t="s">
        <v>156</v>
      </c>
      <c r="AK66" s="72" t="s">
        <v>643</v>
      </c>
      <c r="AL66" s="72" t="s">
        <v>670</v>
      </c>
      <c r="AM66" s="72" t="s">
        <v>379</v>
      </c>
      <c r="AN66" s="72" t="s">
        <v>156</v>
      </c>
      <c r="AO66" s="72" t="s">
        <v>363</v>
      </c>
      <c r="AP66" s="72" t="s">
        <v>156</v>
      </c>
      <c r="AQ66" s="72" t="s">
        <v>156</v>
      </c>
      <c r="AR66" s="72" t="s">
        <v>156</v>
      </c>
      <c r="AS66" s="72" t="s">
        <v>364</v>
      </c>
      <c r="AT66" s="72" t="s">
        <v>156</v>
      </c>
      <c r="AU66" s="72" t="s">
        <v>156</v>
      </c>
      <c r="AV66" s="72" t="s">
        <v>156</v>
      </c>
      <c r="AW66" s="181"/>
      <c r="AX66" s="179"/>
      <c r="AY66" s="72">
        <v>5</v>
      </c>
    </row>
    <row r="67" spans="1:51" s="73" customFormat="1" ht="20.149999999999999" customHeight="1" x14ac:dyDescent="0.35">
      <c r="A67" s="72" t="s">
        <v>671</v>
      </c>
      <c r="B67" s="72" t="s">
        <v>157</v>
      </c>
      <c r="C67" s="72" t="s">
        <v>344</v>
      </c>
      <c r="D67" s="72" t="s">
        <v>345</v>
      </c>
      <c r="E67" s="72" t="s">
        <v>156</v>
      </c>
      <c r="F67" s="72" t="s">
        <v>156</v>
      </c>
      <c r="G67" s="72" t="s">
        <v>156</v>
      </c>
      <c r="H67" s="72" t="s">
        <v>156</v>
      </c>
      <c r="I67" s="72" t="str">
        <f t="shared" si="1"/>
        <v>A valid SSO SSJ Journey for Connect Fixed - Opticomm</v>
      </c>
      <c r="J67" s="72" t="s">
        <v>347</v>
      </c>
      <c r="K67" s="72" t="s">
        <v>346</v>
      </c>
      <c r="L67" s="72" t="s">
        <v>414</v>
      </c>
      <c r="M67" s="72" t="s">
        <v>666</v>
      </c>
      <c r="N67" s="72" t="s">
        <v>349</v>
      </c>
      <c r="O67" s="72" t="s">
        <v>166</v>
      </c>
      <c r="P67" s="72" t="s">
        <v>667</v>
      </c>
      <c r="Q67" s="115" t="s">
        <v>672</v>
      </c>
      <c r="R67" s="72" t="s">
        <v>347</v>
      </c>
      <c r="S67" s="72" t="s">
        <v>156</v>
      </c>
      <c r="T67" s="72" t="s">
        <v>543</v>
      </c>
      <c r="U67" s="72" t="s">
        <v>156</v>
      </c>
      <c r="V67" s="77" t="s">
        <v>647</v>
      </c>
      <c r="W67" s="72" t="s">
        <v>354</v>
      </c>
      <c r="X67" s="72" t="s">
        <v>156</v>
      </c>
      <c r="Y67" s="72" t="s">
        <v>156</v>
      </c>
      <c r="Z67" s="72" t="s">
        <v>157</v>
      </c>
      <c r="AA67" s="72" t="s">
        <v>641</v>
      </c>
      <c r="AB67" s="72" t="s">
        <v>156</v>
      </c>
      <c r="AC67" s="72" t="s">
        <v>373</v>
      </c>
      <c r="AD67" s="72" t="s">
        <v>156</v>
      </c>
      <c r="AE67" s="72" t="s">
        <v>156</v>
      </c>
      <c r="AF67" s="72" t="s">
        <v>156</v>
      </c>
      <c r="AG67" s="72" t="s">
        <v>156</v>
      </c>
      <c r="AH67" s="72" t="s">
        <v>156</v>
      </c>
      <c r="AI67" s="77" t="s">
        <v>669</v>
      </c>
      <c r="AJ67" s="72" t="s">
        <v>156</v>
      </c>
      <c r="AK67" s="115" t="s">
        <v>660</v>
      </c>
      <c r="AL67" s="115" t="s">
        <v>673</v>
      </c>
      <c r="AM67" s="72" t="s">
        <v>373</v>
      </c>
      <c r="AN67" s="115" t="s">
        <v>674</v>
      </c>
      <c r="AO67" s="72" t="s">
        <v>363</v>
      </c>
      <c r="AP67" s="72" t="s">
        <v>156</v>
      </c>
      <c r="AQ67" s="72" t="s">
        <v>156</v>
      </c>
      <c r="AR67" s="72" t="s">
        <v>156</v>
      </c>
      <c r="AS67" s="72" t="s">
        <v>364</v>
      </c>
      <c r="AT67" s="72" t="s">
        <v>156</v>
      </c>
      <c r="AU67" s="72" t="s">
        <v>156</v>
      </c>
      <c r="AV67" s="72" t="s">
        <v>156</v>
      </c>
      <c r="AW67" s="113"/>
      <c r="AX67" s="114"/>
      <c r="AY67" s="72">
        <v>6</v>
      </c>
    </row>
    <row r="68" spans="1:51" s="134" customFormat="1" ht="20.149999999999999" customHeight="1" x14ac:dyDescent="0.35">
      <c r="A68" s="115" t="s">
        <v>675</v>
      </c>
      <c r="B68" s="115" t="s">
        <v>157</v>
      </c>
      <c r="C68" s="115" t="s">
        <v>400</v>
      </c>
      <c r="D68" s="115" t="s">
        <v>345</v>
      </c>
      <c r="E68" s="115" t="s">
        <v>156</v>
      </c>
      <c r="F68" s="115" t="s">
        <v>156</v>
      </c>
      <c r="G68" s="115" t="s">
        <v>156</v>
      </c>
      <c r="H68" s="115" t="s">
        <v>156</v>
      </c>
      <c r="I68" s="115" t="str">
        <f t="shared" ref="I68" si="2">"A valid SSO SSJ Journey for "&amp;AA68</f>
        <v>A valid SSO SSJ Journey for Connect Fixed - Vision</v>
      </c>
      <c r="J68" s="115" t="s">
        <v>346</v>
      </c>
      <c r="K68" s="115" t="s">
        <v>347</v>
      </c>
      <c r="L68" s="115" t="s">
        <v>368</v>
      </c>
      <c r="M68" s="115" t="s">
        <v>166</v>
      </c>
      <c r="N68" s="115" t="s">
        <v>676</v>
      </c>
      <c r="O68" s="115" t="s">
        <v>166</v>
      </c>
      <c r="P68" s="115" t="s">
        <v>156</v>
      </c>
      <c r="Q68" s="115" t="s">
        <v>156</v>
      </c>
      <c r="R68" s="115" t="s">
        <v>156</v>
      </c>
      <c r="S68" s="115" t="s">
        <v>156</v>
      </c>
      <c r="T68" s="115" t="s">
        <v>156</v>
      </c>
      <c r="U68" s="115" t="s">
        <v>156</v>
      </c>
      <c r="V68" s="115" t="s">
        <v>156</v>
      </c>
      <c r="W68" s="115" t="s">
        <v>354</v>
      </c>
      <c r="X68" s="115" t="s">
        <v>156</v>
      </c>
      <c r="Y68" s="115" t="s">
        <v>156</v>
      </c>
      <c r="Z68" s="115" t="s">
        <v>156</v>
      </c>
      <c r="AA68" s="115" t="s">
        <v>611</v>
      </c>
      <c r="AB68" s="115" t="s">
        <v>156</v>
      </c>
      <c r="AC68" s="115" t="s">
        <v>612</v>
      </c>
      <c r="AD68" s="115" t="s">
        <v>156</v>
      </c>
      <c r="AE68" s="115" t="s">
        <v>156</v>
      </c>
      <c r="AF68" s="115" t="s">
        <v>156</v>
      </c>
      <c r="AG68" s="115" t="s">
        <v>156</v>
      </c>
      <c r="AH68" s="115" t="s">
        <v>156</v>
      </c>
      <c r="AI68" s="116" t="s">
        <v>613</v>
      </c>
      <c r="AJ68" s="115" t="s">
        <v>156</v>
      </c>
      <c r="AK68" s="115" t="s">
        <v>614</v>
      </c>
      <c r="AL68" s="115" t="s">
        <v>615</v>
      </c>
      <c r="AM68" s="115" t="s">
        <v>616</v>
      </c>
      <c r="AN68" s="115" t="s">
        <v>156</v>
      </c>
      <c r="AO68" s="115" t="s">
        <v>363</v>
      </c>
      <c r="AP68" s="115" t="s">
        <v>156</v>
      </c>
      <c r="AQ68" s="115" t="s">
        <v>156</v>
      </c>
      <c r="AR68" s="115" t="s">
        <v>156</v>
      </c>
      <c r="AS68" s="115" t="s">
        <v>364</v>
      </c>
      <c r="AT68" s="115" t="s">
        <v>156</v>
      </c>
      <c r="AU68" s="115" t="s">
        <v>156</v>
      </c>
      <c r="AV68" s="115" t="s">
        <v>156</v>
      </c>
      <c r="AW68" s="132"/>
      <c r="AX68" s="133"/>
      <c r="AY68" s="115">
        <v>5</v>
      </c>
    </row>
    <row r="85" spans="1:51" s="68" customFormat="1" ht="20.149999999999999" customHeight="1" x14ac:dyDescent="0.35">
      <c r="A85" s="65"/>
      <c r="B85" s="65"/>
      <c r="C85" s="65"/>
      <c r="D85" s="65"/>
      <c r="E85" s="65"/>
      <c r="F85" s="65"/>
      <c r="G85" s="65"/>
      <c r="H85" s="65"/>
      <c r="I85" s="65"/>
      <c r="J85" s="65"/>
      <c r="K85" s="65"/>
      <c r="L85" s="65"/>
      <c r="M85" s="65"/>
      <c r="N85" s="65"/>
      <c r="O85" s="65"/>
      <c r="P85" s="65"/>
      <c r="Q85" s="65"/>
      <c r="R85" s="65"/>
      <c r="S85" s="65"/>
      <c r="T85" s="65"/>
      <c r="U85" s="70"/>
      <c r="V85" s="70"/>
      <c r="W85" s="65"/>
      <c r="X85" s="70"/>
      <c r="Y85" s="70"/>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Y85" s="65"/>
    </row>
  </sheetData>
  <autoFilter ref="A1:BE1" xr:uid="{6AEA444E-4D5E-4B08-8347-2377F7FF93D7}">
    <filterColumn colId="8" showButton="0"/>
    <filterColumn colId="9" showButton="0"/>
    <filterColumn colId="51" showButton="0"/>
    <filterColumn colId="52" showButton="0"/>
    <filterColumn colId="53" showButton="0"/>
    <filterColumn colId="54" showButton="0"/>
  </autoFilter>
  <mergeCells count="55">
    <mergeCell ref="AZ1:BD1"/>
    <mergeCell ref="AJ2:AJ3"/>
    <mergeCell ref="U1:U3"/>
    <mergeCell ref="D1:D3"/>
    <mergeCell ref="X1:X3"/>
    <mergeCell ref="AA1:AA3"/>
    <mergeCell ref="Y1:Y3"/>
    <mergeCell ref="W1:W3"/>
    <mergeCell ref="J2:J3"/>
    <mergeCell ref="S1:S3"/>
    <mergeCell ref="R1:R3"/>
    <mergeCell ref="T1:T3"/>
    <mergeCell ref="Z1:Z3"/>
    <mergeCell ref="AB1:AB3"/>
    <mergeCell ref="V1:V3"/>
    <mergeCell ref="AY1:AY3"/>
    <mergeCell ref="AX4:AX66"/>
    <mergeCell ref="AW4:AW66"/>
    <mergeCell ref="AP1:AP3"/>
    <mergeCell ref="AR1:AR3"/>
    <mergeCell ref="AW1:AW3"/>
    <mergeCell ref="AU1:AU3"/>
    <mergeCell ref="AS1:AS3"/>
    <mergeCell ref="AX1:AX3"/>
    <mergeCell ref="AQ1:AQ3"/>
    <mergeCell ref="AV1:AV3"/>
    <mergeCell ref="AT1:AT3"/>
    <mergeCell ref="A2:A3"/>
    <mergeCell ref="N1:N3"/>
    <mergeCell ref="O1:O3"/>
    <mergeCell ref="P1:P3"/>
    <mergeCell ref="Q1:Q3"/>
    <mergeCell ref="K2:K3"/>
    <mergeCell ref="E2:E3"/>
    <mergeCell ref="F2:F3"/>
    <mergeCell ref="G2:G3"/>
    <mergeCell ref="H2:H3"/>
    <mergeCell ref="I1:K1"/>
    <mergeCell ref="L1:L3"/>
    <mergeCell ref="M1:M3"/>
    <mergeCell ref="I2:I3"/>
    <mergeCell ref="B1:B3"/>
    <mergeCell ref="C1:C3"/>
    <mergeCell ref="AO1:AO3"/>
    <mergeCell ref="AF1:AF3"/>
    <mergeCell ref="AI2:AI3"/>
    <mergeCell ref="AN2:AN3"/>
    <mergeCell ref="AC1:AC3"/>
    <mergeCell ref="AH1:AH3"/>
    <mergeCell ref="AG1:AG3"/>
    <mergeCell ref="AK2:AK3"/>
    <mergeCell ref="AM2:AM3"/>
    <mergeCell ref="AD1:AD3"/>
    <mergeCell ref="AE1:AE3"/>
    <mergeCell ref="AL1:AL3"/>
  </mergeCells>
  <phoneticPr fontId="12" type="noConversion"/>
  <pageMargins left="0.7" right="0.7" top="0.75" bottom="0.75" header="0.3" footer="0.3"/>
  <pageSetup orientation="portrait" r:id="rId1"/>
  <headerFooter>
    <oddFooter>&amp;L_x000D_&amp;1#&amp;"Aptos"&amp;10&amp;KFF0000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D878-D72A-4049-B2DD-5D5666ACAB0C}">
  <sheetPr filterMode="1"/>
  <dimension ref="A1:H23"/>
  <sheetViews>
    <sheetView topLeftCell="C1" zoomScale="80" zoomScaleNormal="80" workbookViewId="0">
      <selection activeCell="C1" sqref="A1:XFD1"/>
    </sheetView>
  </sheetViews>
  <sheetFormatPr defaultRowHeight="14.5" x14ac:dyDescent="0.35"/>
  <cols>
    <col min="1" max="1" width="5.26953125" style="63" customWidth="1"/>
    <col min="2" max="2" width="105.81640625" customWidth="1"/>
    <col min="3" max="3" width="13.54296875" customWidth="1"/>
    <col min="4" max="4" width="12" style="110" customWidth="1"/>
    <col min="5" max="5" width="99.54296875" customWidth="1"/>
    <col min="7" max="8" width="15.54296875" customWidth="1"/>
  </cols>
  <sheetData>
    <row r="1" spans="1:8" s="109" customFormat="1" x14ac:dyDescent="0.35">
      <c r="A1" s="111" t="s">
        <v>682</v>
      </c>
      <c r="B1" s="135" t="s">
        <v>683</v>
      </c>
      <c r="C1" s="135" t="s">
        <v>684</v>
      </c>
      <c r="D1" s="111" t="s">
        <v>685</v>
      </c>
      <c r="E1" s="135" t="s">
        <v>686</v>
      </c>
      <c r="F1" s="135" t="s">
        <v>687</v>
      </c>
      <c r="G1" s="135" t="s">
        <v>688</v>
      </c>
      <c r="H1" s="135" t="s">
        <v>689</v>
      </c>
    </row>
    <row r="2" spans="1:8" hidden="1" x14ac:dyDescent="0.35">
      <c r="A2" s="63">
        <f t="shared" ref="A2:A13" si="0">ROW() - ROW($A$2) + 1</f>
        <v>1</v>
      </c>
      <c r="B2" t="s">
        <v>690</v>
      </c>
      <c r="C2" t="s">
        <v>691</v>
      </c>
      <c r="D2" s="110" t="s">
        <v>692</v>
      </c>
      <c r="E2" t="s">
        <v>693</v>
      </c>
      <c r="F2" t="s">
        <v>694</v>
      </c>
      <c r="G2" t="s">
        <v>695</v>
      </c>
      <c r="H2" t="s">
        <v>696</v>
      </c>
    </row>
    <row r="3" spans="1:8" hidden="1" x14ac:dyDescent="0.35">
      <c r="A3" s="63">
        <f t="shared" si="0"/>
        <v>2</v>
      </c>
      <c r="B3" t="s">
        <v>697</v>
      </c>
      <c r="C3" t="s">
        <v>698</v>
      </c>
      <c r="D3" s="102">
        <v>46254</v>
      </c>
      <c r="E3" t="s">
        <v>699</v>
      </c>
      <c r="F3" t="s">
        <v>694</v>
      </c>
      <c r="G3" t="s">
        <v>695</v>
      </c>
      <c r="H3" t="s">
        <v>700</v>
      </c>
    </row>
    <row r="4" spans="1:8" hidden="1" x14ac:dyDescent="0.35">
      <c r="A4" s="63">
        <f t="shared" si="0"/>
        <v>3</v>
      </c>
      <c r="B4" t="s">
        <v>701</v>
      </c>
      <c r="C4" t="s">
        <v>698</v>
      </c>
      <c r="D4" s="102">
        <v>46254</v>
      </c>
      <c r="E4" t="s">
        <v>699</v>
      </c>
      <c r="F4" t="s">
        <v>694</v>
      </c>
      <c r="G4" t="s">
        <v>695</v>
      </c>
      <c r="H4" t="s">
        <v>700</v>
      </c>
    </row>
    <row r="5" spans="1:8" hidden="1" x14ac:dyDescent="0.35">
      <c r="A5" s="63">
        <f t="shared" si="0"/>
        <v>4</v>
      </c>
      <c r="B5" t="s">
        <v>702</v>
      </c>
      <c r="C5" s="64" t="s">
        <v>691</v>
      </c>
      <c r="D5" s="102">
        <v>46254</v>
      </c>
      <c r="E5" t="s">
        <v>703</v>
      </c>
      <c r="F5" t="s">
        <v>694</v>
      </c>
      <c r="G5" t="s">
        <v>695</v>
      </c>
      <c r="H5" t="s">
        <v>700</v>
      </c>
    </row>
    <row r="6" spans="1:8" hidden="1" x14ac:dyDescent="0.35">
      <c r="A6" s="63">
        <f t="shared" si="0"/>
        <v>5</v>
      </c>
      <c r="B6" s="2" t="s">
        <v>704</v>
      </c>
      <c r="C6" t="s">
        <v>698</v>
      </c>
      <c r="D6" s="102">
        <v>46254</v>
      </c>
      <c r="E6" t="s">
        <v>705</v>
      </c>
      <c r="F6" t="s">
        <v>694</v>
      </c>
      <c r="G6" t="s">
        <v>695</v>
      </c>
      <c r="H6" t="s">
        <v>700</v>
      </c>
    </row>
    <row r="7" spans="1:8" hidden="1" x14ac:dyDescent="0.35">
      <c r="A7" s="63">
        <f t="shared" si="0"/>
        <v>6</v>
      </c>
      <c r="B7" s="2" t="s">
        <v>706</v>
      </c>
      <c r="C7" t="s">
        <v>691</v>
      </c>
      <c r="D7" s="102">
        <v>46254</v>
      </c>
      <c r="E7" t="s">
        <v>707</v>
      </c>
      <c r="F7" t="s">
        <v>694</v>
      </c>
      <c r="G7" t="s">
        <v>695</v>
      </c>
      <c r="H7" t="s">
        <v>700</v>
      </c>
    </row>
    <row r="8" spans="1:8" ht="43.5" hidden="1" customHeight="1" x14ac:dyDescent="0.35">
      <c r="A8" s="63">
        <f t="shared" si="0"/>
        <v>7</v>
      </c>
      <c r="B8" s="64" t="s">
        <v>708</v>
      </c>
      <c r="C8" s="112" t="s">
        <v>709</v>
      </c>
      <c r="D8" s="102">
        <v>46254</v>
      </c>
      <c r="E8" t="s">
        <v>710</v>
      </c>
      <c r="F8" t="s">
        <v>711</v>
      </c>
      <c r="G8" t="s">
        <v>695</v>
      </c>
      <c r="H8" t="s">
        <v>712</v>
      </c>
    </row>
    <row r="9" spans="1:8" hidden="1" x14ac:dyDescent="0.35">
      <c r="A9" s="63">
        <f t="shared" si="0"/>
        <v>8</v>
      </c>
      <c r="B9" t="s">
        <v>713</v>
      </c>
      <c r="C9" t="s">
        <v>714</v>
      </c>
      <c r="D9" s="102">
        <v>46256</v>
      </c>
      <c r="E9" t="s">
        <v>715</v>
      </c>
      <c r="F9" t="s">
        <v>711</v>
      </c>
      <c r="G9" t="s">
        <v>695</v>
      </c>
      <c r="H9" t="s">
        <v>716</v>
      </c>
    </row>
    <row r="10" spans="1:8" hidden="1" x14ac:dyDescent="0.35">
      <c r="A10" s="63">
        <f t="shared" si="0"/>
        <v>9</v>
      </c>
      <c r="B10" s="2" t="s">
        <v>717</v>
      </c>
      <c r="C10" t="s">
        <v>714</v>
      </c>
      <c r="D10" s="102">
        <v>46256</v>
      </c>
      <c r="E10" t="s">
        <v>718</v>
      </c>
      <c r="F10" t="s">
        <v>694</v>
      </c>
      <c r="G10" t="s">
        <v>695</v>
      </c>
      <c r="H10" t="s">
        <v>700</v>
      </c>
    </row>
    <row r="11" spans="1:8" hidden="1" x14ac:dyDescent="0.35">
      <c r="A11" s="63">
        <f t="shared" si="0"/>
        <v>10</v>
      </c>
      <c r="B11" t="s">
        <v>719</v>
      </c>
      <c r="C11" t="s">
        <v>714</v>
      </c>
      <c r="D11" s="102">
        <v>46256</v>
      </c>
      <c r="E11" t="s">
        <v>720</v>
      </c>
      <c r="F11" t="s">
        <v>711</v>
      </c>
      <c r="G11" t="s">
        <v>695</v>
      </c>
      <c r="H11" t="s">
        <v>716</v>
      </c>
    </row>
    <row r="12" spans="1:8" x14ac:dyDescent="0.35">
      <c r="A12" s="63">
        <f t="shared" si="0"/>
        <v>11</v>
      </c>
      <c r="B12" s="62" t="s">
        <v>721</v>
      </c>
      <c r="C12" s="62" t="s">
        <v>714</v>
      </c>
      <c r="D12" s="130">
        <v>46254</v>
      </c>
      <c r="E12" s="62" t="s">
        <v>722</v>
      </c>
      <c r="F12" s="62" t="s">
        <v>694</v>
      </c>
      <c r="G12" s="62" t="s">
        <v>695</v>
      </c>
      <c r="H12" s="62" t="s">
        <v>723</v>
      </c>
    </row>
    <row r="13" spans="1:8" ht="43.5" hidden="1" x14ac:dyDescent="0.35">
      <c r="A13" s="63">
        <f t="shared" si="0"/>
        <v>12</v>
      </c>
      <c r="B13" s="64" t="s">
        <v>724</v>
      </c>
      <c r="C13" t="s">
        <v>691</v>
      </c>
      <c r="D13" s="102">
        <v>46254</v>
      </c>
      <c r="E13" t="s">
        <v>725</v>
      </c>
      <c r="F13" t="s">
        <v>694</v>
      </c>
      <c r="G13" t="s">
        <v>695</v>
      </c>
      <c r="H13" t="s">
        <v>700</v>
      </c>
    </row>
    <row r="14" spans="1:8" hidden="1" x14ac:dyDescent="0.35">
      <c r="A14" s="63">
        <v>13</v>
      </c>
      <c r="B14" t="s">
        <v>726</v>
      </c>
      <c r="C14" t="s">
        <v>714</v>
      </c>
      <c r="D14" s="102">
        <v>46262</v>
      </c>
      <c r="E14" t="s">
        <v>727</v>
      </c>
      <c r="F14" t="s">
        <v>694</v>
      </c>
      <c r="G14" t="s">
        <v>695</v>
      </c>
      <c r="H14" t="s">
        <v>700</v>
      </c>
    </row>
    <row r="15" spans="1:8" s="62" customFormat="1" ht="29" x14ac:dyDescent="0.35">
      <c r="A15" s="63">
        <v>14</v>
      </c>
      <c r="B15" s="129" t="s">
        <v>728</v>
      </c>
      <c r="C15" s="62" t="s">
        <v>714</v>
      </c>
      <c r="D15" s="130">
        <v>46262</v>
      </c>
      <c r="E15" s="112" t="s">
        <v>729</v>
      </c>
      <c r="F15" s="62" t="s">
        <v>694</v>
      </c>
      <c r="G15" s="62" t="s">
        <v>695</v>
      </c>
      <c r="H15" s="62" t="s">
        <v>723</v>
      </c>
    </row>
    <row r="16" spans="1:8" ht="72.650000000000006" customHeight="1" x14ac:dyDescent="0.35">
      <c r="A16" s="63">
        <v>15</v>
      </c>
      <c r="B16" s="129" t="s">
        <v>730</v>
      </c>
      <c r="C16" s="62" t="s">
        <v>698</v>
      </c>
      <c r="D16" s="130">
        <v>46262</v>
      </c>
      <c r="E16" s="112" t="s">
        <v>731</v>
      </c>
      <c r="F16" s="62" t="s">
        <v>694</v>
      </c>
      <c r="G16" s="62" t="s">
        <v>695</v>
      </c>
      <c r="H16" s="62" t="s">
        <v>723</v>
      </c>
    </row>
    <row r="17" spans="1:8" x14ac:dyDescent="0.35">
      <c r="A17" s="63">
        <v>17</v>
      </c>
      <c r="B17" s="62" t="s">
        <v>732</v>
      </c>
      <c r="C17" s="62" t="s">
        <v>714</v>
      </c>
      <c r="D17" s="130">
        <v>46262</v>
      </c>
      <c r="E17" s="62" t="s">
        <v>733</v>
      </c>
      <c r="F17" s="62" t="s">
        <v>694</v>
      </c>
      <c r="G17" s="62" t="s">
        <v>695</v>
      </c>
      <c r="H17" s="62" t="s">
        <v>723</v>
      </c>
    </row>
    <row r="18" spans="1:8" hidden="1" x14ac:dyDescent="0.35">
      <c r="A18" s="63">
        <v>18</v>
      </c>
      <c r="B18" t="s">
        <v>734</v>
      </c>
      <c r="C18" t="s">
        <v>714</v>
      </c>
      <c r="D18" s="102">
        <v>46262</v>
      </c>
      <c r="E18" t="s">
        <v>720</v>
      </c>
      <c r="F18" t="s">
        <v>711</v>
      </c>
      <c r="G18" t="s">
        <v>695</v>
      </c>
      <c r="H18" t="s">
        <v>716</v>
      </c>
    </row>
    <row r="19" spans="1:8" hidden="1" x14ac:dyDescent="0.35">
      <c r="A19" s="63">
        <v>19</v>
      </c>
      <c r="B19" t="s">
        <v>735</v>
      </c>
      <c r="C19" t="s">
        <v>698</v>
      </c>
      <c r="D19" s="102">
        <v>46262</v>
      </c>
      <c r="E19" t="s">
        <v>720</v>
      </c>
      <c r="F19" t="s">
        <v>711</v>
      </c>
      <c r="G19" t="s">
        <v>695</v>
      </c>
      <c r="H19" t="s">
        <v>716</v>
      </c>
    </row>
    <row r="20" spans="1:8" x14ac:dyDescent="0.35">
      <c r="A20" s="63">
        <v>20</v>
      </c>
      <c r="B20" s="62" t="s">
        <v>736</v>
      </c>
      <c r="C20" s="62" t="s">
        <v>698</v>
      </c>
      <c r="D20" s="130">
        <v>46262</v>
      </c>
      <c r="E20" s="62" t="s">
        <v>737</v>
      </c>
      <c r="F20" s="62" t="s">
        <v>694</v>
      </c>
      <c r="G20" s="62" t="s">
        <v>695</v>
      </c>
      <c r="H20" s="62" t="s">
        <v>723</v>
      </c>
    </row>
    <row r="21" spans="1:8" x14ac:dyDescent="0.35">
      <c r="A21" s="63">
        <v>21</v>
      </c>
      <c r="B21" s="129" t="s">
        <v>738</v>
      </c>
      <c r="C21" s="62" t="s">
        <v>714</v>
      </c>
      <c r="D21" s="130">
        <v>46262</v>
      </c>
      <c r="E21" s="62" t="s">
        <v>739</v>
      </c>
      <c r="F21" s="62" t="s">
        <v>694</v>
      </c>
      <c r="G21" s="62" t="s">
        <v>695</v>
      </c>
      <c r="H21" s="62" t="s">
        <v>723</v>
      </c>
    </row>
    <row r="22" spans="1:8" x14ac:dyDescent="0.35">
      <c r="A22" s="63">
        <v>22</v>
      </c>
      <c r="B22" s="129" t="s">
        <v>740</v>
      </c>
      <c r="C22" s="62" t="s">
        <v>714</v>
      </c>
      <c r="D22" s="130">
        <v>46262</v>
      </c>
      <c r="E22" s="62" t="s">
        <v>741</v>
      </c>
      <c r="F22" s="62" t="s">
        <v>694</v>
      </c>
      <c r="G22" s="62" t="s">
        <v>695</v>
      </c>
      <c r="H22" s="62" t="s">
        <v>742</v>
      </c>
    </row>
    <row r="23" spans="1:8" x14ac:dyDescent="0.35">
      <c r="A23" s="63">
        <v>23</v>
      </c>
      <c r="B23" s="62" t="s">
        <v>743</v>
      </c>
      <c r="C23" s="62" t="s">
        <v>698</v>
      </c>
      <c r="D23" s="130">
        <v>46262</v>
      </c>
      <c r="E23" s="62" t="s">
        <v>744</v>
      </c>
      <c r="F23" s="62" t="s">
        <v>694</v>
      </c>
      <c r="G23" s="62" t="s">
        <v>695</v>
      </c>
      <c r="H23" s="62" t="s">
        <v>723</v>
      </c>
    </row>
  </sheetData>
  <autoFilter ref="A1:H23" xr:uid="{3D3FD878-D72A-4049-B2DD-5D5666ACAB0C}">
    <filterColumn colId="5">
      <filters>
        <filter val="Closed"/>
      </filters>
    </filterColumn>
    <filterColumn colId="7">
      <filters>
        <filter val="v0.8"/>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B970C-316E-4A85-8C0C-7257728CC738}">
  <dimension ref="A1:AE65"/>
  <sheetViews>
    <sheetView showGridLines="0" zoomScale="76" zoomScaleNormal="76" workbookViewId="0">
      <pane ySplit="1" topLeftCell="A49" activePane="bottomLeft" state="frozen"/>
      <selection pane="bottomLeft" activeCell="B49" sqref="B49"/>
    </sheetView>
  </sheetViews>
  <sheetFormatPr defaultRowHeight="14.5" x14ac:dyDescent="0.35"/>
  <cols>
    <col min="1" max="1" width="35.81640625" customWidth="1"/>
    <col min="2" max="3" width="46.7265625" customWidth="1"/>
    <col min="4" max="15" width="65.54296875" customWidth="1"/>
    <col min="16" max="17" width="65.54296875" style="146" customWidth="1"/>
    <col min="18" max="21" width="65.54296875" style="137" customWidth="1"/>
    <col min="22" max="22" width="65.54296875" style="146" customWidth="1"/>
  </cols>
  <sheetData>
    <row r="1" spans="1:31" s="117" customFormat="1" ht="13" x14ac:dyDescent="0.3">
      <c r="A1" s="149"/>
      <c r="B1" s="138" t="s">
        <v>745</v>
      </c>
      <c r="C1" s="138" t="s">
        <v>746</v>
      </c>
      <c r="D1" s="138" t="s">
        <v>747</v>
      </c>
      <c r="E1" s="138" t="s">
        <v>748</v>
      </c>
      <c r="F1" s="138" t="s">
        <v>749</v>
      </c>
      <c r="G1" s="138" t="s">
        <v>750</v>
      </c>
      <c r="H1" s="138" t="s">
        <v>751</v>
      </c>
      <c r="I1" s="138" t="s">
        <v>752</v>
      </c>
      <c r="J1" s="138" t="s">
        <v>753</v>
      </c>
      <c r="K1" s="138" t="s">
        <v>754</v>
      </c>
      <c r="L1" s="138" t="s">
        <v>755</v>
      </c>
      <c r="M1" s="138" t="s">
        <v>756</v>
      </c>
      <c r="N1" s="138" t="s">
        <v>757</v>
      </c>
      <c r="O1" s="138" t="s">
        <v>758</v>
      </c>
      <c r="P1" s="138" t="s">
        <v>759</v>
      </c>
      <c r="Q1" s="138" t="s">
        <v>760</v>
      </c>
      <c r="R1" s="138" t="s">
        <v>761</v>
      </c>
      <c r="S1" s="138" t="s">
        <v>762</v>
      </c>
      <c r="T1" s="138" t="s">
        <v>763</v>
      </c>
      <c r="U1" s="138" t="s">
        <v>764</v>
      </c>
      <c r="V1" s="138" t="s">
        <v>583</v>
      </c>
    </row>
    <row r="2" spans="1:31" s="118" customFormat="1" ht="130" x14ac:dyDescent="0.3">
      <c r="A2" s="150" t="s">
        <v>680</v>
      </c>
      <c r="B2" s="140" t="s">
        <v>765</v>
      </c>
      <c r="C2" s="140" t="s">
        <v>766</v>
      </c>
      <c r="D2" s="140" t="s">
        <v>767</v>
      </c>
      <c r="E2" s="140" t="s">
        <v>767</v>
      </c>
      <c r="F2" s="140" t="s">
        <v>767</v>
      </c>
      <c r="G2" s="140" t="s">
        <v>767</v>
      </c>
      <c r="H2" s="140" t="s">
        <v>767</v>
      </c>
      <c r="I2" s="140" t="s">
        <v>767</v>
      </c>
      <c r="J2" s="140" t="s">
        <v>767</v>
      </c>
      <c r="K2" s="140" t="s">
        <v>767</v>
      </c>
      <c r="L2" s="140" t="s">
        <v>767</v>
      </c>
      <c r="M2" s="140" t="s">
        <v>767</v>
      </c>
      <c r="N2" s="140" t="s">
        <v>767</v>
      </c>
      <c r="O2" s="140" t="s">
        <v>767</v>
      </c>
      <c r="P2" s="141" t="s">
        <v>768</v>
      </c>
      <c r="Q2" s="141" t="s">
        <v>768</v>
      </c>
      <c r="R2" s="140" t="s">
        <v>768</v>
      </c>
      <c r="S2" s="140" t="s">
        <v>768</v>
      </c>
      <c r="T2" s="140" t="s">
        <v>768</v>
      </c>
      <c r="U2" s="140" t="s">
        <v>768</v>
      </c>
      <c r="V2" s="141" t="s">
        <v>768</v>
      </c>
      <c r="W2" s="136"/>
      <c r="X2" s="136"/>
      <c r="Y2" s="136"/>
      <c r="Z2" s="136"/>
      <c r="AA2" s="136"/>
      <c r="AB2" s="136"/>
      <c r="AC2" s="136"/>
      <c r="AD2" s="136"/>
      <c r="AE2" s="136"/>
    </row>
    <row r="3" spans="1:31" s="118" customFormat="1" ht="234" x14ac:dyDescent="0.3">
      <c r="A3" s="151"/>
      <c r="B3" s="140" t="s">
        <v>769</v>
      </c>
      <c r="C3" s="140" t="s">
        <v>766</v>
      </c>
      <c r="D3" s="140" t="s">
        <v>770</v>
      </c>
      <c r="E3" s="140" t="s">
        <v>770</v>
      </c>
      <c r="F3" s="140" t="s">
        <v>770</v>
      </c>
      <c r="G3" s="140" t="s">
        <v>770</v>
      </c>
      <c r="H3" s="140" t="s">
        <v>770</v>
      </c>
      <c r="I3" s="140" t="s">
        <v>770</v>
      </c>
      <c r="J3" s="140" t="s">
        <v>770</v>
      </c>
      <c r="K3" s="140" t="s">
        <v>770</v>
      </c>
      <c r="L3" s="140" t="s">
        <v>770</v>
      </c>
      <c r="M3" s="140" t="s">
        <v>770</v>
      </c>
      <c r="N3" s="140" t="s">
        <v>770</v>
      </c>
      <c r="O3" s="140" t="s">
        <v>770</v>
      </c>
      <c r="P3" s="141" t="s">
        <v>771</v>
      </c>
      <c r="Q3" s="141" t="s">
        <v>771</v>
      </c>
      <c r="R3" s="140" t="s">
        <v>771</v>
      </c>
      <c r="S3" s="140" t="s">
        <v>771</v>
      </c>
      <c r="T3" s="140" t="s">
        <v>771</v>
      </c>
      <c r="U3" s="140" t="s">
        <v>771</v>
      </c>
      <c r="V3" s="141" t="s">
        <v>771</v>
      </c>
      <c r="W3" s="136"/>
      <c r="X3" s="136"/>
      <c r="Y3" s="136"/>
      <c r="Z3" s="136"/>
      <c r="AA3" s="136"/>
      <c r="AB3" s="136"/>
      <c r="AC3" s="136"/>
      <c r="AD3" s="136"/>
      <c r="AE3" s="136"/>
    </row>
    <row r="4" spans="1:31" ht="52" x14ac:dyDescent="0.35">
      <c r="A4" s="151"/>
      <c r="B4" s="140" t="s">
        <v>772</v>
      </c>
      <c r="C4" s="140" t="s">
        <v>766</v>
      </c>
      <c r="D4" s="140" t="s">
        <v>773</v>
      </c>
      <c r="E4" s="140" t="s">
        <v>773</v>
      </c>
      <c r="F4" s="140" t="s">
        <v>773</v>
      </c>
      <c r="G4" s="140" t="s">
        <v>773</v>
      </c>
      <c r="H4" s="140" t="s">
        <v>773</v>
      </c>
      <c r="I4" s="140" t="s">
        <v>773</v>
      </c>
      <c r="J4" s="140" t="s">
        <v>773</v>
      </c>
      <c r="K4" s="140" t="s">
        <v>773</v>
      </c>
      <c r="L4" s="140" t="s">
        <v>773</v>
      </c>
      <c r="M4" s="140" t="s">
        <v>773</v>
      </c>
      <c r="N4" s="140" t="s">
        <v>773</v>
      </c>
      <c r="O4" s="140" t="s">
        <v>773</v>
      </c>
      <c r="P4" s="141" t="s">
        <v>773</v>
      </c>
      <c r="Q4" s="141" t="s">
        <v>773</v>
      </c>
      <c r="R4" s="140" t="s">
        <v>773</v>
      </c>
      <c r="S4" s="140" t="s">
        <v>773</v>
      </c>
      <c r="T4" s="140" t="s">
        <v>773</v>
      </c>
      <c r="U4" s="140" t="s">
        <v>773</v>
      </c>
      <c r="V4" s="141" t="s">
        <v>773</v>
      </c>
    </row>
    <row r="5" spans="1:31" ht="143" x14ac:dyDescent="0.35">
      <c r="A5" s="151"/>
      <c r="B5" s="140" t="s">
        <v>774</v>
      </c>
      <c r="C5" s="140" t="s">
        <v>766</v>
      </c>
      <c r="D5" s="140" t="s">
        <v>775</v>
      </c>
      <c r="E5" s="140" t="s">
        <v>775</v>
      </c>
      <c r="F5" s="140" t="s">
        <v>775</v>
      </c>
      <c r="G5" s="140" t="s">
        <v>775</v>
      </c>
      <c r="H5" s="140" t="s">
        <v>775</v>
      </c>
      <c r="I5" s="140" t="s">
        <v>775</v>
      </c>
      <c r="J5" s="140" t="s">
        <v>775</v>
      </c>
      <c r="K5" s="140" t="s">
        <v>775</v>
      </c>
      <c r="L5" s="140" t="s">
        <v>775</v>
      </c>
      <c r="M5" s="140" t="s">
        <v>775</v>
      </c>
      <c r="N5" s="140" t="s">
        <v>775</v>
      </c>
      <c r="O5" s="140" t="s">
        <v>775</v>
      </c>
      <c r="P5" s="141" t="s">
        <v>775</v>
      </c>
      <c r="Q5" s="141" t="s">
        <v>775</v>
      </c>
      <c r="R5" s="140" t="s">
        <v>775</v>
      </c>
      <c r="S5" s="140" t="s">
        <v>775</v>
      </c>
      <c r="T5" s="140" t="s">
        <v>775</v>
      </c>
      <c r="U5" s="140" t="s">
        <v>775</v>
      </c>
      <c r="V5" s="141" t="s">
        <v>775</v>
      </c>
    </row>
    <row r="6" spans="1:31" ht="221" x14ac:dyDescent="0.35">
      <c r="A6" s="151"/>
      <c r="B6" s="140" t="s">
        <v>677</v>
      </c>
      <c r="C6" s="140" t="s">
        <v>766</v>
      </c>
      <c r="D6" s="140" t="s">
        <v>776</v>
      </c>
      <c r="E6" s="140" t="s">
        <v>777</v>
      </c>
      <c r="F6" s="140" t="s">
        <v>776</v>
      </c>
      <c r="G6" s="140" t="s">
        <v>777</v>
      </c>
      <c r="H6" s="140" t="s">
        <v>776</v>
      </c>
      <c r="I6" s="140" t="s">
        <v>777</v>
      </c>
      <c r="J6" s="140" t="s">
        <v>776</v>
      </c>
      <c r="K6" s="140" t="s">
        <v>777</v>
      </c>
      <c r="L6" s="140" t="s">
        <v>776</v>
      </c>
      <c r="M6" s="140" t="s">
        <v>777</v>
      </c>
      <c r="N6" s="140" t="s">
        <v>778</v>
      </c>
      <c r="O6" s="140" t="s">
        <v>777</v>
      </c>
      <c r="P6" s="141" t="s">
        <v>1343</v>
      </c>
      <c r="Q6" s="141" t="s">
        <v>1343</v>
      </c>
      <c r="R6" s="140" t="s">
        <v>1341</v>
      </c>
      <c r="S6" s="140" t="s">
        <v>1341</v>
      </c>
      <c r="T6" s="140" t="s">
        <v>1341</v>
      </c>
      <c r="U6" s="140" t="s">
        <v>1341</v>
      </c>
      <c r="V6" s="141" t="s">
        <v>779</v>
      </c>
    </row>
    <row r="7" spans="1:31" ht="169" x14ac:dyDescent="0.35">
      <c r="A7" s="151"/>
      <c r="B7" s="140" t="s">
        <v>780</v>
      </c>
      <c r="C7" s="140" t="s">
        <v>766</v>
      </c>
      <c r="D7" s="140" t="s">
        <v>781</v>
      </c>
      <c r="E7" s="140" t="s">
        <v>781</v>
      </c>
      <c r="F7" s="140" t="s">
        <v>781</v>
      </c>
      <c r="G7" s="140" t="s">
        <v>781</v>
      </c>
      <c r="H7" s="140" t="s">
        <v>781</v>
      </c>
      <c r="I7" s="140" t="s">
        <v>781</v>
      </c>
      <c r="J7" s="140" t="s">
        <v>781</v>
      </c>
      <c r="K7" s="140" t="s">
        <v>781</v>
      </c>
      <c r="L7" s="140" t="s">
        <v>781</v>
      </c>
      <c r="M7" s="140" t="s">
        <v>781</v>
      </c>
      <c r="N7" s="140" t="s">
        <v>781</v>
      </c>
      <c r="O7" s="140" t="s">
        <v>781</v>
      </c>
      <c r="P7" s="141" t="s">
        <v>781</v>
      </c>
      <c r="Q7" s="141" t="s">
        <v>781</v>
      </c>
      <c r="R7" s="140" t="s">
        <v>781</v>
      </c>
      <c r="S7" s="140" t="s">
        <v>781</v>
      </c>
      <c r="T7" s="140" t="s">
        <v>781</v>
      </c>
      <c r="U7" s="140" t="s">
        <v>781</v>
      </c>
      <c r="V7" s="141" t="s">
        <v>781</v>
      </c>
    </row>
    <row r="8" spans="1:31" ht="39" x14ac:dyDescent="0.35">
      <c r="A8" s="185" t="s">
        <v>681</v>
      </c>
      <c r="B8" s="140" t="s">
        <v>782</v>
      </c>
      <c r="C8" s="140" t="s">
        <v>766</v>
      </c>
      <c r="D8" s="140" t="s">
        <v>783</v>
      </c>
      <c r="E8" s="140" t="s">
        <v>783</v>
      </c>
      <c r="F8" s="140" t="s">
        <v>783</v>
      </c>
      <c r="G8" s="140" t="s">
        <v>783</v>
      </c>
      <c r="H8" s="140" t="s">
        <v>783</v>
      </c>
      <c r="I8" s="140" t="s">
        <v>783</v>
      </c>
      <c r="J8" s="140" t="s">
        <v>783</v>
      </c>
      <c r="K8" s="140" t="s">
        <v>783</v>
      </c>
      <c r="L8" s="140" t="s">
        <v>783</v>
      </c>
      <c r="M8" s="140" t="s">
        <v>783</v>
      </c>
      <c r="N8" s="140" t="s">
        <v>783</v>
      </c>
      <c r="O8" s="140" t="s">
        <v>783</v>
      </c>
      <c r="P8" s="141" t="s">
        <v>783</v>
      </c>
      <c r="Q8" s="141" t="s">
        <v>783</v>
      </c>
      <c r="R8" s="140" t="s">
        <v>783</v>
      </c>
      <c r="S8" s="140" t="s">
        <v>783</v>
      </c>
      <c r="T8" s="140" t="s">
        <v>783</v>
      </c>
      <c r="U8" s="140" t="s">
        <v>783</v>
      </c>
      <c r="V8" s="141" t="s">
        <v>783</v>
      </c>
    </row>
    <row r="9" spans="1:31" ht="78" x14ac:dyDescent="0.35">
      <c r="A9" s="186"/>
      <c r="B9" s="140" t="s">
        <v>784</v>
      </c>
      <c r="C9" s="140" t="s">
        <v>766</v>
      </c>
      <c r="D9" s="140" t="s">
        <v>785</v>
      </c>
      <c r="E9" s="140" t="s">
        <v>785</v>
      </c>
      <c r="F9" s="140" t="s">
        <v>785</v>
      </c>
      <c r="G9" s="140" t="s">
        <v>785</v>
      </c>
      <c r="H9" s="140" t="s">
        <v>785</v>
      </c>
      <c r="I9" s="140" t="s">
        <v>785</v>
      </c>
      <c r="J9" s="140" t="s">
        <v>785</v>
      </c>
      <c r="K9" s="140" t="s">
        <v>785</v>
      </c>
      <c r="L9" s="140" t="s">
        <v>785</v>
      </c>
      <c r="M9" s="140" t="s">
        <v>785</v>
      </c>
      <c r="N9" s="140" t="s">
        <v>785</v>
      </c>
      <c r="O9" s="140" t="s">
        <v>785</v>
      </c>
      <c r="P9" s="141" t="s">
        <v>785</v>
      </c>
      <c r="Q9" s="141" t="s">
        <v>785</v>
      </c>
      <c r="R9" s="140" t="s">
        <v>785</v>
      </c>
      <c r="S9" s="140" t="s">
        <v>785</v>
      </c>
      <c r="T9" s="140" t="s">
        <v>785</v>
      </c>
      <c r="U9" s="140" t="s">
        <v>785</v>
      </c>
      <c r="V9" s="141" t="s">
        <v>785</v>
      </c>
    </row>
    <row r="10" spans="1:31" ht="78" x14ac:dyDescent="0.35">
      <c r="A10" s="186"/>
      <c r="B10" s="140" t="s">
        <v>786</v>
      </c>
      <c r="C10" s="140" t="s">
        <v>766</v>
      </c>
      <c r="D10" s="140" t="s">
        <v>787</v>
      </c>
      <c r="E10" s="140" t="s">
        <v>787</v>
      </c>
      <c r="F10" s="140" t="s">
        <v>787</v>
      </c>
      <c r="G10" s="140" t="s">
        <v>787</v>
      </c>
      <c r="H10" s="140" t="s">
        <v>787</v>
      </c>
      <c r="I10" s="140" t="s">
        <v>787</v>
      </c>
      <c r="J10" s="140" t="s">
        <v>787</v>
      </c>
      <c r="K10" s="140" t="s">
        <v>787</v>
      </c>
      <c r="L10" s="140" t="s">
        <v>787</v>
      </c>
      <c r="M10" s="140" t="s">
        <v>787</v>
      </c>
      <c r="N10" s="140" t="s">
        <v>787</v>
      </c>
      <c r="O10" s="140" t="s">
        <v>787</v>
      </c>
      <c r="P10" s="141" t="s">
        <v>787</v>
      </c>
      <c r="Q10" s="141" t="s">
        <v>787</v>
      </c>
      <c r="R10" s="140" t="s">
        <v>787</v>
      </c>
      <c r="S10" s="140" t="s">
        <v>787</v>
      </c>
      <c r="T10" s="140" t="s">
        <v>787</v>
      </c>
      <c r="U10" s="140" t="s">
        <v>787</v>
      </c>
      <c r="V10" s="141" t="s">
        <v>787</v>
      </c>
    </row>
    <row r="11" spans="1:31" ht="130" x14ac:dyDescent="0.35">
      <c r="A11" s="186"/>
      <c r="B11" s="140" t="s">
        <v>788</v>
      </c>
      <c r="C11" s="140" t="s">
        <v>766</v>
      </c>
      <c r="D11" s="140" t="s">
        <v>789</v>
      </c>
      <c r="E11" s="140" t="s">
        <v>789</v>
      </c>
      <c r="F11" s="140" t="s">
        <v>789</v>
      </c>
      <c r="G11" s="140" t="s">
        <v>789</v>
      </c>
      <c r="H11" s="140" t="s">
        <v>789</v>
      </c>
      <c r="I11" s="140" t="s">
        <v>789</v>
      </c>
      <c r="J11" s="140" t="s">
        <v>789</v>
      </c>
      <c r="K11" s="140" t="s">
        <v>789</v>
      </c>
      <c r="L11" s="140" t="s">
        <v>789</v>
      </c>
      <c r="M11" s="140" t="s">
        <v>789</v>
      </c>
      <c r="N11" s="140" t="s">
        <v>789</v>
      </c>
      <c r="O11" s="140" t="s">
        <v>789</v>
      </c>
      <c r="P11" s="141" t="s">
        <v>789</v>
      </c>
      <c r="Q11" s="141" t="s">
        <v>789</v>
      </c>
      <c r="R11" s="140" t="s">
        <v>789</v>
      </c>
      <c r="S11" s="140" t="s">
        <v>789</v>
      </c>
      <c r="T11" s="140" t="s">
        <v>789</v>
      </c>
      <c r="U11" s="140" t="s">
        <v>789</v>
      </c>
      <c r="V11" s="141" t="s">
        <v>789</v>
      </c>
    </row>
    <row r="12" spans="1:31" ht="104" x14ac:dyDescent="0.35">
      <c r="A12" s="186"/>
      <c r="B12" s="140" t="s">
        <v>790</v>
      </c>
      <c r="C12" s="140" t="s">
        <v>766</v>
      </c>
      <c r="D12" s="140" t="s">
        <v>791</v>
      </c>
      <c r="E12" s="142" t="s">
        <v>792</v>
      </c>
      <c r="F12" s="140" t="s">
        <v>791</v>
      </c>
      <c r="G12" s="142" t="s">
        <v>792</v>
      </c>
      <c r="H12" s="140" t="s">
        <v>791</v>
      </c>
      <c r="I12" s="142" t="s">
        <v>792</v>
      </c>
      <c r="J12" s="140" t="s">
        <v>791</v>
      </c>
      <c r="K12" s="142" t="s">
        <v>792</v>
      </c>
      <c r="L12" s="140" t="s">
        <v>791</v>
      </c>
      <c r="M12" s="142" t="s">
        <v>792</v>
      </c>
      <c r="N12" s="140" t="s">
        <v>791</v>
      </c>
      <c r="O12" s="142" t="s">
        <v>792</v>
      </c>
      <c r="P12" s="144" t="s">
        <v>793</v>
      </c>
      <c r="Q12" s="144" t="s">
        <v>793</v>
      </c>
      <c r="R12" s="142" t="s">
        <v>794</v>
      </c>
      <c r="S12" s="142" t="s">
        <v>794</v>
      </c>
      <c r="T12" s="142" t="s">
        <v>794</v>
      </c>
      <c r="U12" s="142" t="s">
        <v>794</v>
      </c>
      <c r="V12" s="144" t="s">
        <v>795</v>
      </c>
    </row>
    <row r="13" spans="1:31" ht="199" customHeight="1" x14ac:dyDescent="0.35">
      <c r="A13" s="186"/>
      <c r="B13" s="140" t="s">
        <v>796</v>
      </c>
      <c r="C13" s="140" t="s">
        <v>766</v>
      </c>
      <c r="D13" s="140" t="s">
        <v>797</v>
      </c>
      <c r="E13" s="142" t="s">
        <v>798</v>
      </c>
      <c r="F13" s="140" t="s">
        <v>797</v>
      </c>
      <c r="G13" s="142" t="s">
        <v>798</v>
      </c>
      <c r="H13" s="140" t="s">
        <v>797</v>
      </c>
      <c r="I13" s="142" t="s">
        <v>798</v>
      </c>
      <c r="J13" s="140" t="s">
        <v>797</v>
      </c>
      <c r="K13" s="142" t="s">
        <v>798</v>
      </c>
      <c r="L13" s="140" t="s">
        <v>797</v>
      </c>
      <c r="M13" s="142" t="s">
        <v>798</v>
      </c>
      <c r="N13" s="140" t="s">
        <v>797</v>
      </c>
      <c r="O13" s="142" t="s">
        <v>798</v>
      </c>
      <c r="P13" s="144" t="s">
        <v>798</v>
      </c>
      <c r="Q13" s="144" t="s">
        <v>798</v>
      </c>
      <c r="R13" s="142" t="s">
        <v>798</v>
      </c>
      <c r="S13" s="142" t="s">
        <v>798</v>
      </c>
      <c r="T13" s="142" t="s">
        <v>798</v>
      </c>
      <c r="U13" s="142" t="s">
        <v>798</v>
      </c>
      <c r="V13" s="144" t="s">
        <v>798</v>
      </c>
    </row>
    <row r="14" spans="1:31" x14ac:dyDescent="0.35">
      <c r="A14" s="186"/>
      <c r="B14" s="140" t="s">
        <v>799</v>
      </c>
      <c r="C14" s="140" t="s">
        <v>766</v>
      </c>
      <c r="D14" s="140" t="s">
        <v>800</v>
      </c>
      <c r="E14" s="140" t="s">
        <v>800</v>
      </c>
      <c r="F14" s="140" t="s">
        <v>800</v>
      </c>
      <c r="G14" s="140" t="s">
        <v>800</v>
      </c>
      <c r="H14" s="140" t="s">
        <v>800</v>
      </c>
      <c r="I14" s="140" t="s">
        <v>800</v>
      </c>
      <c r="J14" s="140" t="s">
        <v>800</v>
      </c>
      <c r="K14" s="140" t="s">
        <v>800</v>
      </c>
      <c r="L14" s="140" t="s">
        <v>800</v>
      </c>
      <c r="M14" s="140" t="s">
        <v>800</v>
      </c>
      <c r="N14" s="140" t="s">
        <v>800</v>
      </c>
      <c r="O14" s="140" t="s">
        <v>800</v>
      </c>
      <c r="P14" s="141" t="s">
        <v>800</v>
      </c>
      <c r="Q14" s="141" t="s">
        <v>800</v>
      </c>
      <c r="R14" s="140" t="s">
        <v>800</v>
      </c>
      <c r="S14" s="140" t="s">
        <v>800</v>
      </c>
      <c r="T14" s="140" t="s">
        <v>800</v>
      </c>
      <c r="U14" s="140" t="s">
        <v>800</v>
      </c>
      <c r="V14" s="141" t="s">
        <v>800</v>
      </c>
    </row>
    <row r="15" spans="1:31" ht="238" customHeight="1" x14ac:dyDescent="0.35">
      <c r="A15" s="186"/>
      <c r="B15" s="140" t="s">
        <v>801</v>
      </c>
      <c r="C15" s="140" t="s">
        <v>766</v>
      </c>
      <c r="D15" s="140" t="s">
        <v>802</v>
      </c>
      <c r="E15" s="140" t="s">
        <v>802</v>
      </c>
      <c r="F15" s="140" t="s">
        <v>802</v>
      </c>
      <c r="G15" s="140" t="s">
        <v>802</v>
      </c>
      <c r="H15" s="140" t="s">
        <v>802</v>
      </c>
      <c r="I15" s="140" t="s">
        <v>802</v>
      </c>
      <c r="J15" s="140" t="s">
        <v>802</v>
      </c>
      <c r="K15" s="140" t="s">
        <v>802</v>
      </c>
      <c r="L15" s="140" t="s">
        <v>802</v>
      </c>
      <c r="M15" s="140" t="s">
        <v>802</v>
      </c>
      <c r="N15" s="140" t="s">
        <v>802</v>
      </c>
      <c r="O15" s="140" t="s">
        <v>802</v>
      </c>
      <c r="P15" s="140" t="s">
        <v>802</v>
      </c>
      <c r="Q15" s="140" t="s">
        <v>802</v>
      </c>
      <c r="R15" s="140" t="s">
        <v>802</v>
      </c>
      <c r="S15" s="140" t="s">
        <v>802</v>
      </c>
      <c r="T15" s="140" t="s">
        <v>802</v>
      </c>
      <c r="U15" s="140" t="s">
        <v>802</v>
      </c>
      <c r="V15" s="140" t="s">
        <v>802</v>
      </c>
    </row>
    <row r="16" spans="1:31" ht="51.65" customHeight="1" x14ac:dyDescent="0.35">
      <c r="A16" s="186"/>
      <c r="B16" s="140" t="s">
        <v>803</v>
      </c>
      <c r="C16" s="140" t="s">
        <v>766</v>
      </c>
      <c r="D16" s="140" t="s">
        <v>804</v>
      </c>
      <c r="E16" s="140" t="s">
        <v>804</v>
      </c>
      <c r="F16" s="140" t="s">
        <v>804</v>
      </c>
      <c r="G16" s="140" t="s">
        <v>804</v>
      </c>
      <c r="H16" s="140" t="s">
        <v>804</v>
      </c>
      <c r="I16" s="140" t="s">
        <v>804</v>
      </c>
      <c r="J16" s="140" t="s">
        <v>804</v>
      </c>
      <c r="K16" s="140" t="s">
        <v>804</v>
      </c>
      <c r="L16" s="140" t="s">
        <v>804</v>
      </c>
      <c r="M16" s="140" t="s">
        <v>804</v>
      </c>
      <c r="N16" s="140" t="s">
        <v>804</v>
      </c>
      <c r="O16" s="140" t="s">
        <v>804</v>
      </c>
      <c r="P16" s="141" t="s">
        <v>804</v>
      </c>
      <c r="Q16" s="141" t="s">
        <v>804</v>
      </c>
      <c r="R16" s="140" t="s">
        <v>804</v>
      </c>
      <c r="S16" s="140" t="s">
        <v>804</v>
      </c>
      <c r="T16" s="140" t="s">
        <v>804</v>
      </c>
      <c r="U16" s="140" t="s">
        <v>804</v>
      </c>
      <c r="V16" s="141" t="s">
        <v>804</v>
      </c>
    </row>
    <row r="17" spans="1:22" ht="39" customHeight="1" x14ac:dyDescent="0.35">
      <c r="A17" s="186"/>
      <c r="B17" s="140" t="s">
        <v>805</v>
      </c>
      <c r="C17" s="140" t="s">
        <v>766</v>
      </c>
      <c r="D17" s="140" t="s">
        <v>806</v>
      </c>
      <c r="E17" s="140" t="s">
        <v>806</v>
      </c>
      <c r="F17" s="140" t="s">
        <v>806</v>
      </c>
      <c r="G17" s="140" t="s">
        <v>806</v>
      </c>
      <c r="H17" s="140" t="s">
        <v>806</v>
      </c>
      <c r="I17" s="140" t="s">
        <v>806</v>
      </c>
      <c r="J17" s="140" t="s">
        <v>806</v>
      </c>
      <c r="K17" s="140" t="s">
        <v>806</v>
      </c>
      <c r="L17" s="140" t="s">
        <v>806</v>
      </c>
      <c r="M17" s="140" t="s">
        <v>806</v>
      </c>
      <c r="N17" s="140" t="s">
        <v>806</v>
      </c>
      <c r="O17" s="140" t="s">
        <v>806</v>
      </c>
      <c r="P17" s="141" t="s">
        <v>806</v>
      </c>
      <c r="Q17" s="141" t="s">
        <v>806</v>
      </c>
      <c r="R17" s="140" t="s">
        <v>806</v>
      </c>
      <c r="S17" s="140" t="s">
        <v>806</v>
      </c>
      <c r="T17" s="140" t="s">
        <v>806</v>
      </c>
      <c r="U17" s="140" t="s">
        <v>806</v>
      </c>
      <c r="V17" s="141" t="s">
        <v>806</v>
      </c>
    </row>
    <row r="18" spans="1:22" ht="221" x14ac:dyDescent="0.35">
      <c r="A18" s="186"/>
      <c r="B18" s="140" t="s">
        <v>807</v>
      </c>
      <c r="C18" s="140" t="s">
        <v>766</v>
      </c>
      <c r="D18" s="140" t="s">
        <v>802</v>
      </c>
      <c r="E18" s="140" t="s">
        <v>802</v>
      </c>
      <c r="F18" s="140" t="s">
        <v>802</v>
      </c>
      <c r="G18" s="140" t="s">
        <v>802</v>
      </c>
      <c r="H18" s="140" t="s">
        <v>802</v>
      </c>
      <c r="I18" s="140" t="s">
        <v>802</v>
      </c>
      <c r="J18" s="140" t="s">
        <v>802</v>
      </c>
      <c r="K18" s="140" t="s">
        <v>802</v>
      </c>
      <c r="L18" s="140" t="s">
        <v>802</v>
      </c>
      <c r="M18" s="140" t="s">
        <v>802</v>
      </c>
      <c r="N18" s="140" t="s">
        <v>802</v>
      </c>
      <c r="O18" s="140" t="s">
        <v>802</v>
      </c>
      <c r="P18" s="140" t="s">
        <v>802</v>
      </c>
      <c r="Q18" s="140" t="s">
        <v>802</v>
      </c>
      <c r="R18" s="140" t="s">
        <v>802</v>
      </c>
      <c r="S18" s="140" t="s">
        <v>802</v>
      </c>
      <c r="T18" s="140" t="s">
        <v>802</v>
      </c>
      <c r="U18" s="140" t="s">
        <v>802</v>
      </c>
      <c r="V18" s="140" t="s">
        <v>802</v>
      </c>
    </row>
    <row r="19" spans="1:22" ht="51.65" customHeight="1" x14ac:dyDescent="0.35">
      <c r="A19" s="186"/>
      <c r="B19" s="140" t="s">
        <v>808</v>
      </c>
      <c r="C19" s="140" t="s">
        <v>766</v>
      </c>
      <c r="D19" s="140" t="s">
        <v>809</v>
      </c>
      <c r="E19" s="140" t="s">
        <v>809</v>
      </c>
      <c r="F19" s="140" t="s">
        <v>809</v>
      </c>
      <c r="G19" s="140" t="s">
        <v>809</v>
      </c>
      <c r="H19" s="140" t="s">
        <v>809</v>
      </c>
      <c r="I19" s="140" t="s">
        <v>809</v>
      </c>
      <c r="J19" s="140" t="s">
        <v>809</v>
      </c>
      <c r="K19" s="140" t="s">
        <v>809</v>
      </c>
      <c r="L19" s="140" t="s">
        <v>809</v>
      </c>
      <c r="M19" s="140" t="s">
        <v>809</v>
      </c>
      <c r="N19" s="140" t="s">
        <v>809</v>
      </c>
      <c r="O19" s="140" t="s">
        <v>809</v>
      </c>
      <c r="P19" s="141" t="s">
        <v>809</v>
      </c>
      <c r="Q19" s="141" t="s">
        <v>809</v>
      </c>
      <c r="R19" s="140" t="s">
        <v>809</v>
      </c>
      <c r="S19" s="140" t="s">
        <v>809</v>
      </c>
      <c r="T19" s="140" t="s">
        <v>809</v>
      </c>
      <c r="U19" s="140" t="s">
        <v>809</v>
      </c>
      <c r="V19" s="141" t="s">
        <v>809</v>
      </c>
    </row>
    <row r="20" spans="1:22" x14ac:dyDescent="0.35">
      <c r="A20" s="186"/>
      <c r="B20" s="140" t="s">
        <v>810</v>
      </c>
      <c r="C20" s="140" t="s">
        <v>766</v>
      </c>
      <c r="D20" s="140" t="s">
        <v>811</v>
      </c>
      <c r="E20" s="140" t="s">
        <v>811</v>
      </c>
      <c r="F20" s="140" t="s">
        <v>811</v>
      </c>
      <c r="G20" s="140" t="s">
        <v>811</v>
      </c>
      <c r="H20" s="140" t="s">
        <v>811</v>
      </c>
      <c r="I20" s="140" t="s">
        <v>811</v>
      </c>
      <c r="J20" s="140" t="s">
        <v>811</v>
      </c>
      <c r="K20" s="140" t="s">
        <v>811</v>
      </c>
      <c r="L20" s="140" t="s">
        <v>811</v>
      </c>
      <c r="M20" s="140" t="s">
        <v>811</v>
      </c>
      <c r="N20" s="140" t="s">
        <v>811</v>
      </c>
      <c r="O20" s="140" t="s">
        <v>811</v>
      </c>
      <c r="P20" s="141" t="s">
        <v>811</v>
      </c>
      <c r="Q20" s="141" t="s">
        <v>811</v>
      </c>
      <c r="R20" s="140" t="s">
        <v>811</v>
      </c>
      <c r="S20" s="140" t="s">
        <v>811</v>
      </c>
      <c r="T20" s="140" t="s">
        <v>811</v>
      </c>
      <c r="U20" s="140" t="s">
        <v>811</v>
      </c>
      <c r="V20" s="141" t="s">
        <v>811</v>
      </c>
    </row>
    <row r="21" spans="1:22" ht="221" x14ac:dyDescent="0.35">
      <c r="A21" s="186"/>
      <c r="B21" s="140" t="s">
        <v>812</v>
      </c>
      <c r="C21" s="140" t="s">
        <v>766</v>
      </c>
      <c r="D21" s="140" t="s">
        <v>802</v>
      </c>
      <c r="E21" s="140" t="s">
        <v>802</v>
      </c>
      <c r="F21" s="140" t="s">
        <v>802</v>
      </c>
      <c r="G21" s="140" t="s">
        <v>802</v>
      </c>
      <c r="H21" s="140" t="s">
        <v>802</v>
      </c>
      <c r="I21" s="140" t="s">
        <v>802</v>
      </c>
      <c r="J21" s="140" t="s">
        <v>802</v>
      </c>
      <c r="K21" s="140" t="s">
        <v>802</v>
      </c>
      <c r="L21" s="140" t="s">
        <v>802</v>
      </c>
      <c r="M21" s="140" t="s">
        <v>802</v>
      </c>
      <c r="N21" s="140" t="s">
        <v>802</v>
      </c>
      <c r="O21" s="140" t="s">
        <v>802</v>
      </c>
      <c r="P21" s="140" t="s">
        <v>802</v>
      </c>
      <c r="Q21" s="140" t="s">
        <v>802</v>
      </c>
      <c r="R21" s="140" t="s">
        <v>802</v>
      </c>
      <c r="S21" s="140" t="s">
        <v>802</v>
      </c>
      <c r="T21" s="140" t="s">
        <v>802</v>
      </c>
      <c r="U21" s="140" t="s">
        <v>802</v>
      </c>
      <c r="V21" s="140" t="s">
        <v>802</v>
      </c>
    </row>
    <row r="22" spans="1:22" ht="56.5" customHeight="1" x14ac:dyDescent="0.35">
      <c r="A22" s="186"/>
      <c r="B22" s="140" t="s">
        <v>813</v>
      </c>
      <c r="C22" s="140" t="s">
        <v>766</v>
      </c>
      <c r="D22" s="140" t="s">
        <v>814</v>
      </c>
      <c r="E22" s="140" t="s">
        <v>814</v>
      </c>
      <c r="F22" s="140" t="s">
        <v>814</v>
      </c>
      <c r="G22" s="140" t="s">
        <v>814</v>
      </c>
      <c r="H22" s="140" t="s">
        <v>814</v>
      </c>
      <c r="I22" s="140" t="s">
        <v>814</v>
      </c>
      <c r="J22" s="140" t="s">
        <v>814</v>
      </c>
      <c r="K22" s="140" t="s">
        <v>814</v>
      </c>
      <c r="L22" s="140" t="s">
        <v>814</v>
      </c>
      <c r="M22" s="140" t="s">
        <v>814</v>
      </c>
      <c r="N22" s="140" t="s">
        <v>814</v>
      </c>
      <c r="O22" s="140" t="s">
        <v>815</v>
      </c>
      <c r="P22" s="141" t="s">
        <v>815</v>
      </c>
      <c r="Q22" s="141" t="s">
        <v>815</v>
      </c>
      <c r="R22" s="140" t="s">
        <v>814</v>
      </c>
      <c r="S22" s="140" t="s">
        <v>814</v>
      </c>
      <c r="T22" s="140" t="s">
        <v>814</v>
      </c>
      <c r="U22" s="140" t="s">
        <v>814</v>
      </c>
      <c r="V22" s="141" t="s">
        <v>816</v>
      </c>
    </row>
    <row r="23" spans="1:22" ht="40" customHeight="1" x14ac:dyDescent="0.35">
      <c r="A23" s="186"/>
      <c r="B23" s="140" t="s">
        <v>817</v>
      </c>
      <c r="C23" s="140" t="s">
        <v>766</v>
      </c>
      <c r="D23" s="140" t="s">
        <v>818</v>
      </c>
      <c r="E23" s="140" t="s">
        <v>818</v>
      </c>
      <c r="F23" s="140" t="s">
        <v>818</v>
      </c>
      <c r="G23" s="140" t="s">
        <v>818</v>
      </c>
      <c r="H23" s="140" t="s">
        <v>818</v>
      </c>
      <c r="I23" s="140" t="s">
        <v>818</v>
      </c>
      <c r="J23" s="140" t="s">
        <v>818</v>
      </c>
      <c r="K23" s="140" t="s">
        <v>818</v>
      </c>
      <c r="L23" s="140" t="s">
        <v>818</v>
      </c>
      <c r="M23" s="140" t="s">
        <v>818</v>
      </c>
      <c r="N23" s="140" t="s">
        <v>818</v>
      </c>
      <c r="O23" s="140" t="s">
        <v>818</v>
      </c>
      <c r="P23" s="141" t="s">
        <v>818</v>
      </c>
      <c r="Q23" s="141" t="s">
        <v>818</v>
      </c>
      <c r="R23" s="140" t="s">
        <v>818</v>
      </c>
      <c r="S23" s="140" t="s">
        <v>818</v>
      </c>
      <c r="T23" s="140" t="s">
        <v>818</v>
      </c>
      <c r="U23" s="140" t="s">
        <v>818</v>
      </c>
      <c r="V23" s="141" t="s">
        <v>818</v>
      </c>
    </row>
    <row r="24" spans="1:22" ht="191.15" customHeight="1" x14ac:dyDescent="0.35">
      <c r="A24" s="186"/>
      <c r="B24" s="140" t="s">
        <v>819</v>
      </c>
      <c r="C24" s="140" t="s">
        <v>766</v>
      </c>
      <c r="D24" s="140" t="s">
        <v>820</v>
      </c>
      <c r="E24" s="140" t="s">
        <v>820</v>
      </c>
      <c r="F24" s="140" t="s">
        <v>820</v>
      </c>
      <c r="G24" s="140" t="s">
        <v>820</v>
      </c>
      <c r="H24" s="140" t="s">
        <v>820</v>
      </c>
      <c r="I24" s="140" t="s">
        <v>820</v>
      </c>
      <c r="J24" s="140" t="s">
        <v>820</v>
      </c>
      <c r="K24" s="140" t="s">
        <v>820</v>
      </c>
      <c r="L24" s="140" t="s">
        <v>820</v>
      </c>
      <c r="M24" s="140" t="s">
        <v>820</v>
      </c>
      <c r="N24" s="140" t="s">
        <v>820</v>
      </c>
      <c r="O24" s="140" t="s">
        <v>820</v>
      </c>
      <c r="P24" s="141" t="s">
        <v>820</v>
      </c>
      <c r="Q24" s="141" t="s">
        <v>820</v>
      </c>
      <c r="R24" s="140" t="s">
        <v>820</v>
      </c>
      <c r="S24" s="140" t="s">
        <v>820</v>
      </c>
      <c r="T24" s="140" t="s">
        <v>820</v>
      </c>
      <c r="U24" s="140" t="s">
        <v>820</v>
      </c>
      <c r="V24" s="141" t="s">
        <v>820</v>
      </c>
    </row>
    <row r="25" spans="1:22" ht="91" x14ac:dyDescent="0.35">
      <c r="A25" s="186"/>
      <c r="B25" s="140" t="s">
        <v>821</v>
      </c>
      <c r="C25" s="140" t="s">
        <v>766</v>
      </c>
      <c r="D25" s="140" t="s">
        <v>822</v>
      </c>
      <c r="E25" s="140" t="s">
        <v>822</v>
      </c>
      <c r="F25" s="140" t="s">
        <v>822</v>
      </c>
      <c r="G25" s="140" t="s">
        <v>822</v>
      </c>
      <c r="H25" s="140" t="s">
        <v>822</v>
      </c>
      <c r="I25" s="140" t="s">
        <v>822</v>
      </c>
      <c r="J25" s="140" t="s">
        <v>822</v>
      </c>
      <c r="K25" s="140" t="s">
        <v>822</v>
      </c>
      <c r="L25" s="140" t="s">
        <v>822</v>
      </c>
      <c r="M25" s="140" t="s">
        <v>822</v>
      </c>
      <c r="N25" s="140" t="s">
        <v>822</v>
      </c>
      <c r="O25" s="140" t="s">
        <v>822</v>
      </c>
      <c r="P25" s="141" t="s">
        <v>822</v>
      </c>
      <c r="Q25" s="141" t="s">
        <v>822</v>
      </c>
      <c r="R25" s="140" t="s">
        <v>822</v>
      </c>
      <c r="S25" s="140" t="s">
        <v>822</v>
      </c>
      <c r="T25" s="140" t="s">
        <v>822</v>
      </c>
      <c r="U25" s="140" t="s">
        <v>822</v>
      </c>
      <c r="V25" s="141" t="s">
        <v>822</v>
      </c>
    </row>
    <row r="26" spans="1:22" ht="39" x14ac:dyDescent="0.35">
      <c r="A26" s="186"/>
      <c r="B26" s="147" t="s">
        <v>823</v>
      </c>
      <c r="C26" s="147" t="s">
        <v>1340</v>
      </c>
      <c r="D26" s="140" t="s">
        <v>824</v>
      </c>
      <c r="E26" s="140" t="s">
        <v>824</v>
      </c>
      <c r="F26" s="140" t="s">
        <v>824</v>
      </c>
      <c r="G26" s="140" t="s">
        <v>824</v>
      </c>
      <c r="H26" s="140" t="s">
        <v>824</v>
      </c>
      <c r="I26" s="140" t="s">
        <v>824</v>
      </c>
      <c r="J26" s="140" t="s">
        <v>824</v>
      </c>
      <c r="K26" s="140" t="s">
        <v>824</v>
      </c>
      <c r="L26" s="140" t="s">
        <v>824</v>
      </c>
      <c r="M26" s="140" t="s">
        <v>824</v>
      </c>
      <c r="N26" s="140" t="s">
        <v>824</v>
      </c>
      <c r="O26" s="140" t="s">
        <v>824</v>
      </c>
      <c r="P26" s="141" t="s">
        <v>824</v>
      </c>
      <c r="Q26" s="141" t="s">
        <v>824</v>
      </c>
      <c r="R26" s="140" t="s">
        <v>824</v>
      </c>
      <c r="S26" s="140" t="s">
        <v>824</v>
      </c>
      <c r="T26" s="140" t="s">
        <v>824</v>
      </c>
      <c r="U26" s="140" t="s">
        <v>824</v>
      </c>
      <c r="V26" s="141" t="s">
        <v>824</v>
      </c>
    </row>
    <row r="27" spans="1:22" ht="91" x14ac:dyDescent="0.35">
      <c r="A27" s="186"/>
      <c r="B27" s="140" t="s">
        <v>825</v>
      </c>
      <c r="C27" s="140" t="s">
        <v>766</v>
      </c>
      <c r="D27" s="140" t="s">
        <v>826</v>
      </c>
      <c r="E27" s="140" t="s">
        <v>826</v>
      </c>
      <c r="F27" s="140" t="s">
        <v>826</v>
      </c>
      <c r="G27" s="140" t="s">
        <v>826</v>
      </c>
      <c r="H27" s="140" t="s">
        <v>826</v>
      </c>
      <c r="I27" s="140" t="s">
        <v>826</v>
      </c>
      <c r="J27" s="140" t="s">
        <v>826</v>
      </c>
      <c r="K27" s="140" t="s">
        <v>826</v>
      </c>
      <c r="L27" s="140" t="s">
        <v>826</v>
      </c>
      <c r="M27" s="140" t="s">
        <v>826</v>
      </c>
      <c r="N27" s="140" t="s">
        <v>826</v>
      </c>
      <c r="O27" s="140" t="s">
        <v>827</v>
      </c>
      <c r="P27" s="141" t="s">
        <v>827</v>
      </c>
      <c r="Q27" s="141" t="s">
        <v>827</v>
      </c>
      <c r="R27" s="140" t="s">
        <v>826</v>
      </c>
      <c r="S27" s="140" t="s">
        <v>826</v>
      </c>
      <c r="T27" s="140" t="s">
        <v>826</v>
      </c>
      <c r="U27" s="140" t="s">
        <v>826</v>
      </c>
      <c r="V27" s="141" t="s">
        <v>828</v>
      </c>
    </row>
    <row r="28" spans="1:22" ht="78" x14ac:dyDescent="0.35">
      <c r="A28" s="186"/>
      <c r="B28" s="140" t="s">
        <v>829</v>
      </c>
      <c r="C28" s="140" t="s">
        <v>766</v>
      </c>
      <c r="D28" s="140" t="s">
        <v>830</v>
      </c>
      <c r="E28" s="140" t="s">
        <v>830</v>
      </c>
      <c r="F28" s="140" t="s">
        <v>830</v>
      </c>
      <c r="G28" s="140" t="s">
        <v>830</v>
      </c>
      <c r="H28" s="140" t="s">
        <v>830</v>
      </c>
      <c r="I28" s="140" t="s">
        <v>830</v>
      </c>
      <c r="J28" s="140" t="s">
        <v>830</v>
      </c>
      <c r="K28" s="140" t="s">
        <v>830</v>
      </c>
      <c r="L28" s="140" t="s">
        <v>830</v>
      </c>
      <c r="M28" s="140" t="s">
        <v>830</v>
      </c>
      <c r="N28" s="140" t="s">
        <v>830</v>
      </c>
      <c r="O28" s="140" t="s">
        <v>830</v>
      </c>
      <c r="P28" s="141" t="s">
        <v>830</v>
      </c>
      <c r="Q28" s="141" t="s">
        <v>830</v>
      </c>
      <c r="R28" s="140" t="s">
        <v>830</v>
      </c>
      <c r="S28" s="140" t="s">
        <v>830</v>
      </c>
      <c r="T28" s="140" t="s">
        <v>830</v>
      </c>
      <c r="U28" s="140" t="s">
        <v>830</v>
      </c>
      <c r="V28" s="141" t="s">
        <v>830</v>
      </c>
    </row>
    <row r="29" spans="1:22" ht="78" x14ac:dyDescent="0.35">
      <c r="A29" s="186"/>
      <c r="B29" s="140" t="s">
        <v>831</v>
      </c>
      <c r="C29" s="140" t="s">
        <v>766</v>
      </c>
      <c r="D29" s="140" t="s">
        <v>832</v>
      </c>
      <c r="E29" s="140" t="s">
        <v>832</v>
      </c>
      <c r="F29" s="140" t="s">
        <v>832</v>
      </c>
      <c r="G29" s="140" t="s">
        <v>832</v>
      </c>
      <c r="H29" s="140" t="s">
        <v>832</v>
      </c>
      <c r="I29" s="140" t="s">
        <v>832</v>
      </c>
      <c r="J29" s="140" t="s">
        <v>832</v>
      </c>
      <c r="K29" s="140" t="s">
        <v>832</v>
      </c>
      <c r="L29" s="140" t="s">
        <v>832</v>
      </c>
      <c r="M29" s="140" t="s">
        <v>832</v>
      </c>
      <c r="N29" s="140" t="s">
        <v>832</v>
      </c>
      <c r="O29" s="140" t="s">
        <v>832</v>
      </c>
      <c r="P29" s="141" t="s">
        <v>832</v>
      </c>
      <c r="Q29" s="141" t="s">
        <v>832</v>
      </c>
      <c r="R29" s="140" t="s">
        <v>832</v>
      </c>
      <c r="S29" s="140" t="s">
        <v>832</v>
      </c>
      <c r="T29" s="140" t="s">
        <v>832</v>
      </c>
      <c r="U29" s="140" t="s">
        <v>832</v>
      </c>
      <c r="V29" s="141" t="s">
        <v>832</v>
      </c>
    </row>
    <row r="30" spans="1:22" ht="118" customHeight="1" x14ac:dyDescent="0.35">
      <c r="A30" s="186"/>
      <c r="B30" s="140" t="s">
        <v>833</v>
      </c>
      <c r="C30" s="140" t="s">
        <v>766</v>
      </c>
      <c r="D30" s="140" t="s">
        <v>834</v>
      </c>
      <c r="E30" s="140" t="s">
        <v>834</v>
      </c>
      <c r="F30" s="140" t="s">
        <v>834</v>
      </c>
      <c r="G30" s="140" t="s">
        <v>834</v>
      </c>
      <c r="H30" s="140" t="s">
        <v>834</v>
      </c>
      <c r="I30" s="140" t="s">
        <v>834</v>
      </c>
      <c r="J30" s="140" t="s">
        <v>834</v>
      </c>
      <c r="K30" s="140" t="s">
        <v>834</v>
      </c>
      <c r="L30" s="140" t="s">
        <v>834</v>
      </c>
      <c r="M30" s="140" t="s">
        <v>834</v>
      </c>
      <c r="N30" s="140" t="s">
        <v>834</v>
      </c>
      <c r="O30" s="140" t="s">
        <v>834</v>
      </c>
      <c r="P30" s="141" t="s">
        <v>834</v>
      </c>
      <c r="Q30" s="141" t="s">
        <v>834</v>
      </c>
      <c r="R30" s="140" t="s">
        <v>834</v>
      </c>
      <c r="S30" s="140" t="s">
        <v>834</v>
      </c>
      <c r="T30" s="140" t="s">
        <v>834</v>
      </c>
      <c r="U30" s="140" t="s">
        <v>834</v>
      </c>
      <c r="V30" s="141" t="s">
        <v>834</v>
      </c>
    </row>
    <row r="31" spans="1:22" ht="143.5" customHeight="1" x14ac:dyDescent="0.35">
      <c r="A31" s="186"/>
      <c r="B31" s="140" t="s">
        <v>835</v>
      </c>
      <c r="C31" s="140" t="s">
        <v>766</v>
      </c>
      <c r="D31" s="140" t="s">
        <v>836</v>
      </c>
      <c r="E31" s="140" t="s">
        <v>836</v>
      </c>
      <c r="F31" s="140" t="s">
        <v>836</v>
      </c>
      <c r="G31" s="140" t="s">
        <v>836</v>
      </c>
      <c r="H31" s="140" t="s">
        <v>836</v>
      </c>
      <c r="I31" s="140" t="s">
        <v>836</v>
      </c>
      <c r="J31" s="140" t="s">
        <v>836</v>
      </c>
      <c r="K31" s="140" t="s">
        <v>836</v>
      </c>
      <c r="L31" s="140" t="s">
        <v>836</v>
      </c>
      <c r="M31" s="140" t="s">
        <v>836</v>
      </c>
      <c r="N31" s="140" t="s">
        <v>836</v>
      </c>
      <c r="O31" s="140" t="s">
        <v>837</v>
      </c>
      <c r="P31" s="141" t="s">
        <v>837</v>
      </c>
      <c r="Q31" s="141" t="s">
        <v>837</v>
      </c>
      <c r="R31" s="140" t="s">
        <v>838</v>
      </c>
      <c r="S31" s="140" t="s">
        <v>838</v>
      </c>
      <c r="T31" s="140" t="s">
        <v>838</v>
      </c>
      <c r="U31" s="140" t="s">
        <v>838</v>
      </c>
      <c r="V31" s="141" t="s">
        <v>839</v>
      </c>
    </row>
    <row r="32" spans="1:22" ht="83.15" customHeight="1" x14ac:dyDescent="0.35">
      <c r="A32" s="186"/>
      <c r="B32" s="140" t="s">
        <v>840</v>
      </c>
      <c r="C32" s="140" t="s">
        <v>766</v>
      </c>
      <c r="D32" s="140" t="s">
        <v>841</v>
      </c>
      <c r="E32" s="140" t="s">
        <v>841</v>
      </c>
      <c r="F32" s="140" t="s">
        <v>841</v>
      </c>
      <c r="G32" s="140" t="s">
        <v>841</v>
      </c>
      <c r="H32" s="140" t="s">
        <v>841</v>
      </c>
      <c r="I32" s="140" t="s">
        <v>841</v>
      </c>
      <c r="J32" s="140" t="s">
        <v>841</v>
      </c>
      <c r="K32" s="140" t="s">
        <v>841</v>
      </c>
      <c r="L32" s="140" t="s">
        <v>841</v>
      </c>
      <c r="M32" s="140" t="s">
        <v>841</v>
      </c>
      <c r="N32" s="140" t="s">
        <v>841</v>
      </c>
      <c r="O32" s="140" t="s">
        <v>841</v>
      </c>
      <c r="P32" s="141" t="s">
        <v>841</v>
      </c>
      <c r="Q32" s="141" t="s">
        <v>841</v>
      </c>
      <c r="R32" s="140" t="s">
        <v>841</v>
      </c>
      <c r="S32" s="140" t="s">
        <v>841</v>
      </c>
      <c r="T32" s="140" t="s">
        <v>841</v>
      </c>
      <c r="U32" s="140" t="s">
        <v>841</v>
      </c>
      <c r="V32" s="141" t="s">
        <v>841</v>
      </c>
    </row>
    <row r="33" spans="1:22" ht="36.65" customHeight="1" x14ac:dyDescent="0.35">
      <c r="A33" s="186"/>
      <c r="B33" s="140" t="s">
        <v>842</v>
      </c>
      <c r="C33" s="140" t="s">
        <v>766</v>
      </c>
      <c r="D33" s="140" t="s">
        <v>843</v>
      </c>
      <c r="E33" s="140" t="s">
        <v>843</v>
      </c>
      <c r="F33" s="140" t="s">
        <v>843</v>
      </c>
      <c r="G33" s="140" t="s">
        <v>843</v>
      </c>
      <c r="H33" s="140" t="s">
        <v>843</v>
      </c>
      <c r="I33" s="140" t="s">
        <v>843</v>
      </c>
      <c r="J33" s="140" t="s">
        <v>843</v>
      </c>
      <c r="K33" s="140" t="s">
        <v>843</v>
      </c>
      <c r="L33" s="140" t="s">
        <v>843</v>
      </c>
      <c r="M33" s="140" t="s">
        <v>843</v>
      </c>
      <c r="N33" s="140" t="s">
        <v>843</v>
      </c>
      <c r="O33" s="140" t="s">
        <v>843</v>
      </c>
      <c r="P33" s="141" t="s">
        <v>843</v>
      </c>
      <c r="Q33" s="141" t="s">
        <v>843</v>
      </c>
      <c r="R33" s="140" t="s">
        <v>843</v>
      </c>
      <c r="S33" s="140" t="s">
        <v>843</v>
      </c>
      <c r="T33" s="140" t="s">
        <v>843</v>
      </c>
      <c r="U33" s="140" t="s">
        <v>843</v>
      </c>
      <c r="V33" s="141" t="s">
        <v>843</v>
      </c>
    </row>
    <row r="34" spans="1:22" ht="26" x14ac:dyDescent="0.35">
      <c r="A34" s="186"/>
      <c r="B34" s="140" t="s">
        <v>844</v>
      </c>
      <c r="C34" s="140" t="s">
        <v>766</v>
      </c>
      <c r="D34" s="140" t="s">
        <v>845</v>
      </c>
      <c r="E34" s="140" t="s">
        <v>845</v>
      </c>
      <c r="F34" s="140" t="s">
        <v>845</v>
      </c>
      <c r="G34" s="140" t="s">
        <v>845</v>
      </c>
      <c r="H34" s="140" t="s">
        <v>845</v>
      </c>
      <c r="I34" s="140" t="s">
        <v>845</v>
      </c>
      <c r="J34" s="140" t="s">
        <v>845</v>
      </c>
      <c r="K34" s="140" t="s">
        <v>845</v>
      </c>
      <c r="L34" s="140" t="s">
        <v>845</v>
      </c>
      <c r="M34" s="140" t="s">
        <v>845</v>
      </c>
      <c r="N34" s="140" t="s">
        <v>845</v>
      </c>
      <c r="O34" s="140" t="s">
        <v>845</v>
      </c>
      <c r="P34" s="141" t="s">
        <v>845</v>
      </c>
      <c r="Q34" s="141" t="s">
        <v>845</v>
      </c>
      <c r="R34" s="140" t="s">
        <v>845</v>
      </c>
      <c r="S34" s="140" t="s">
        <v>845</v>
      </c>
      <c r="T34" s="140" t="s">
        <v>845</v>
      </c>
      <c r="U34" s="140" t="s">
        <v>845</v>
      </c>
      <c r="V34" s="141" t="s">
        <v>845</v>
      </c>
    </row>
    <row r="35" spans="1:22" ht="39" x14ac:dyDescent="0.35">
      <c r="A35" s="186"/>
      <c r="B35" s="140" t="s">
        <v>846</v>
      </c>
      <c r="C35" s="140" t="s">
        <v>766</v>
      </c>
      <c r="D35" s="140" t="s">
        <v>847</v>
      </c>
      <c r="E35" s="140" t="s">
        <v>847</v>
      </c>
      <c r="F35" s="140" t="s">
        <v>847</v>
      </c>
      <c r="G35" s="140" t="s">
        <v>847</v>
      </c>
      <c r="H35" s="140" t="s">
        <v>847</v>
      </c>
      <c r="I35" s="140" t="s">
        <v>847</v>
      </c>
      <c r="J35" s="140" t="s">
        <v>847</v>
      </c>
      <c r="K35" s="140" t="s">
        <v>847</v>
      </c>
      <c r="L35" s="140" t="s">
        <v>847</v>
      </c>
      <c r="M35" s="140" t="s">
        <v>847</v>
      </c>
      <c r="N35" s="140" t="s">
        <v>847</v>
      </c>
      <c r="O35" s="140" t="s">
        <v>847</v>
      </c>
      <c r="P35" s="141" t="s">
        <v>847</v>
      </c>
      <c r="Q35" s="141" t="s">
        <v>847</v>
      </c>
      <c r="R35" s="140" t="s">
        <v>847</v>
      </c>
      <c r="S35" s="140" t="s">
        <v>847</v>
      </c>
      <c r="T35" s="140" t="s">
        <v>847</v>
      </c>
      <c r="U35" s="140" t="s">
        <v>847</v>
      </c>
      <c r="V35" s="141" t="s">
        <v>847</v>
      </c>
    </row>
    <row r="36" spans="1:22" x14ac:dyDescent="0.35">
      <c r="A36" s="139" t="s">
        <v>848</v>
      </c>
      <c r="B36" s="140" t="s">
        <v>849</v>
      </c>
      <c r="C36" s="140" t="s">
        <v>766</v>
      </c>
      <c r="D36" s="140" t="s">
        <v>850</v>
      </c>
      <c r="E36" s="140" t="s">
        <v>850</v>
      </c>
      <c r="F36" s="140" t="s">
        <v>850</v>
      </c>
      <c r="G36" s="140" t="s">
        <v>850</v>
      </c>
      <c r="H36" s="140" t="s">
        <v>850</v>
      </c>
      <c r="I36" s="140" t="s">
        <v>850</v>
      </c>
      <c r="J36" s="140" t="s">
        <v>850</v>
      </c>
      <c r="K36" s="140" t="s">
        <v>850</v>
      </c>
      <c r="L36" s="140" t="s">
        <v>850</v>
      </c>
      <c r="M36" s="140" t="s">
        <v>850</v>
      </c>
      <c r="N36" s="140" t="s">
        <v>850</v>
      </c>
      <c r="O36" s="140" t="s">
        <v>850</v>
      </c>
      <c r="P36" s="141" t="s">
        <v>850</v>
      </c>
      <c r="Q36" s="141" t="s">
        <v>850</v>
      </c>
      <c r="R36" s="140" t="s">
        <v>850</v>
      </c>
      <c r="S36" s="140" t="s">
        <v>850</v>
      </c>
      <c r="T36" s="140" t="s">
        <v>850</v>
      </c>
      <c r="U36" s="140" t="s">
        <v>850</v>
      </c>
      <c r="V36" s="141" t="s">
        <v>850</v>
      </c>
    </row>
    <row r="37" spans="1:22" x14ac:dyDescent="0.35">
      <c r="A37" s="139" t="s">
        <v>851</v>
      </c>
      <c r="B37" s="140" t="s">
        <v>852</v>
      </c>
      <c r="C37" s="140" t="s">
        <v>766</v>
      </c>
      <c r="D37" s="140" t="s">
        <v>850</v>
      </c>
      <c r="E37" s="140" t="s">
        <v>850</v>
      </c>
      <c r="F37" s="140" t="s">
        <v>850</v>
      </c>
      <c r="G37" s="140" t="s">
        <v>850</v>
      </c>
      <c r="H37" s="140" t="s">
        <v>850</v>
      </c>
      <c r="I37" s="140" t="s">
        <v>850</v>
      </c>
      <c r="J37" s="140" t="s">
        <v>850</v>
      </c>
      <c r="K37" s="140" t="s">
        <v>850</v>
      </c>
      <c r="L37" s="140" t="s">
        <v>850</v>
      </c>
      <c r="M37" s="140" t="s">
        <v>850</v>
      </c>
      <c r="N37" s="140" t="s">
        <v>850</v>
      </c>
      <c r="O37" s="140" t="s">
        <v>850</v>
      </c>
      <c r="P37" s="141" t="s">
        <v>850</v>
      </c>
      <c r="Q37" s="141" t="s">
        <v>850</v>
      </c>
      <c r="R37" s="140" t="s">
        <v>850</v>
      </c>
      <c r="S37" s="140" t="s">
        <v>850</v>
      </c>
      <c r="T37" s="140" t="s">
        <v>850</v>
      </c>
      <c r="U37" s="140" t="s">
        <v>850</v>
      </c>
      <c r="V37" s="141" t="s">
        <v>850</v>
      </c>
    </row>
    <row r="38" spans="1:22" x14ac:dyDescent="0.35">
      <c r="A38" s="139" t="s">
        <v>853</v>
      </c>
      <c r="B38" s="140" t="s">
        <v>854</v>
      </c>
      <c r="C38" s="140" t="s">
        <v>766</v>
      </c>
      <c r="D38" s="140" t="s">
        <v>850</v>
      </c>
      <c r="E38" s="140" t="s">
        <v>850</v>
      </c>
      <c r="F38" s="140" t="s">
        <v>850</v>
      </c>
      <c r="G38" s="140" t="s">
        <v>850</v>
      </c>
      <c r="H38" s="140" t="s">
        <v>850</v>
      </c>
      <c r="I38" s="140" t="s">
        <v>850</v>
      </c>
      <c r="J38" s="140" t="s">
        <v>850</v>
      </c>
      <c r="K38" s="140" t="s">
        <v>850</v>
      </c>
      <c r="L38" s="140" t="s">
        <v>850</v>
      </c>
      <c r="M38" s="140" t="s">
        <v>850</v>
      </c>
      <c r="N38" s="140" t="s">
        <v>850</v>
      </c>
      <c r="O38" s="140" t="s">
        <v>850</v>
      </c>
      <c r="P38" s="141" t="s">
        <v>850</v>
      </c>
      <c r="Q38" s="141" t="s">
        <v>850</v>
      </c>
      <c r="R38" s="140" t="s">
        <v>850</v>
      </c>
      <c r="S38" s="140" t="s">
        <v>850</v>
      </c>
      <c r="T38" s="140" t="s">
        <v>850</v>
      </c>
      <c r="U38" s="140" t="s">
        <v>850</v>
      </c>
      <c r="V38" s="141" t="s">
        <v>850</v>
      </c>
    </row>
    <row r="39" spans="1:22" x14ac:dyDescent="0.35">
      <c r="A39" s="139" t="s">
        <v>855</v>
      </c>
      <c r="B39" s="140" t="s">
        <v>856</v>
      </c>
      <c r="C39" s="140" t="s">
        <v>766</v>
      </c>
      <c r="D39" s="140" t="s">
        <v>850</v>
      </c>
      <c r="E39" s="140" t="s">
        <v>850</v>
      </c>
      <c r="F39" s="140" t="s">
        <v>850</v>
      </c>
      <c r="G39" s="140" t="s">
        <v>850</v>
      </c>
      <c r="H39" s="140" t="s">
        <v>850</v>
      </c>
      <c r="I39" s="140" t="s">
        <v>850</v>
      </c>
      <c r="J39" s="140" t="s">
        <v>850</v>
      </c>
      <c r="K39" s="140" t="s">
        <v>850</v>
      </c>
      <c r="L39" s="140" t="s">
        <v>850</v>
      </c>
      <c r="M39" s="140" t="s">
        <v>850</v>
      </c>
      <c r="N39" s="140" t="s">
        <v>850</v>
      </c>
      <c r="O39" s="140" t="s">
        <v>850</v>
      </c>
      <c r="P39" s="141" t="s">
        <v>850</v>
      </c>
      <c r="Q39" s="141" t="s">
        <v>850</v>
      </c>
      <c r="R39" s="140" t="s">
        <v>850</v>
      </c>
      <c r="S39" s="140" t="s">
        <v>850</v>
      </c>
      <c r="T39" s="140" t="s">
        <v>850</v>
      </c>
      <c r="U39" s="140" t="s">
        <v>850</v>
      </c>
      <c r="V39" s="141" t="s">
        <v>850</v>
      </c>
    </row>
    <row r="40" spans="1:22" x14ac:dyDescent="0.35">
      <c r="A40" s="139" t="s">
        <v>857</v>
      </c>
      <c r="B40" s="140" t="s">
        <v>858</v>
      </c>
      <c r="C40" s="140" t="s">
        <v>766</v>
      </c>
      <c r="D40" s="140" t="s">
        <v>850</v>
      </c>
      <c r="E40" s="140" t="s">
        <v>850</v>
      </c>
      <c r="F40" s="140" t="s">
        <v>850</v>
      </c>
      <c r="G40" s="140" t="s">
        <v>850</v>
      </c>
      <c r="H40" s="140" t="s">
        <v>850</v>
      </c>
      <c r="I40" s="140" t="s">
        <v>850</v>
      </c>
      <c r="J40" s="140" t="s">
        <v>850</v>
      </c>
      <c r="K40" s="140" t="s">
        <v>850</v>
      </c>
      <c r="L40" s="140" t="s">
        <v>850</v>
      </c>
      <c r="M40" s="140" t="s">
        <v>850</v>
      </c>
      <c r="N40" s="140" t="s">
        <v>850</v>
      </c>
      <c r="O40" s="140" t="s">
        <v>850</v>
      </c>
      <c r="P40" s="141" t="s">
        <v>850</v>
      </c>
      <c r="Q40" s="141" t="s">
        <v>850</v>
      </c>
      <c r="R40" s="140" t="s">
        <v>850</v>
      </c>
      <c r="S40" s="140" t="s">
        <v>850</v>
      </c>
      <c r="T40" s="140" t="s">
        <v>850</v>
      </c>
      <c r="U40" s="140" t="s">
        <v>850</v>
      </c>
      <c r="V40" s="141" t="s">
        <v>850</v>
      </c>
    </row>
    <row r="41" spans="1:22" ht="156" x14ac:dyDescent="0.35">
      <c r="A41" s="152" t="s">
        <v>859</v>
      </c>
      <c r="B41" s="140" t="s">
        <v>860</v>
      </c>
      <c r="C41" s="140" t="s">
        <v>766</v>
      </c>
      <c r="D41" s="140" t="s">
        <v>861</v>
      </c>
      <c r="E41" s="140" t="s">
        <v>862</v>
      </c>
      <c r="F41" s="140" t="s">
        <v>862</v>
      </c>
      <c r="G41" s="140" t="s">
        <v>862</v>
      </c>
      <c r="H41" s="140" t="s">
        <v>862</v>
      </c>
      <c r="I41" s="140" t="s">
        <v>862</v>
      </c>
      <c r="J41" s="140" t="s">
        <v>862</v>
      </c>
      <c r="K41" s="140" t="s">
        <v>862</v>
      </c>
      <c r="L41" s="140" t="s">
        <v>862</v>
      </c>
      <c r="M41" s="140" t="s">
        <v>862</v>
      </c>
      <c r="N41" s="140" t="s">
        <v>862</v>
      </c>
      <c r="O41" s="140" t="s">
        <v>862</v>
      </c>
      <c r="P41" s="141" t="s">
        <v>863</v>
      </c>
      <c r="Q41" s="141" t="s">
        <v>863</v>
      </c>
      <c r="R41" s="140" t="s">
        <v>864</v>
      </c>
      <c r="S41" s="140" t="s">
        <v>864</v>
      </c>
      <c r="T41" s="140" t="s">
        <v>864</v>
      </c>
      <c r="U41" s="140" t="s">
        <v>864</v>
      </c>
      <c r="V41" s="141" t="s">
        <v>865</v>
      </c>
    </row>
    <row r="42" spans="1:22" ht="377" x14ac:dyDescent="0.35">
      <c r="A42" s="153"/>
      <c r="B42" s="140" t="s">
        <v>866</v>
      </c>
      <c r="C42" s="140" t="s">
        <v>766</v>
      </c>
      <c r="D42" s="140" t="s">
        <v>867</v>
      </c>
      <c r="E42" s="140" t="s">
        <v>868</v>
      </c>
      <c r="F42" s="140" t="s">
        <v>869</v>
      </c>
      <c r="G42" s="140" t="s">
        <v>869</v>
      </c>
      <c r="H42" s="140" t="s">
        <v>868</v>
      </c>
      <c r="I42" s="140" t="s">
        <v>869</v>
      </c>
      <c r="J42" s="140" t="s">
        <v>869</v>
      </c>
      <c r="K42" s="140" t="s">
        <v>868</v>
      </c>
      <c r="L42" s="140" t="s">
        <v>868</v>
      </c>
      <c r="M42" s="140" t="s">
        <v>870</v>
      </c>
      <c r="N42" s="140" t="s">
        <v>868</v>
      </c>
      <c r="O42" s="140" t="s">
        <v>868</v>
      </c>
      <c r="P42" s="141" t="s">
        <v>871</v>
      </c>
      <c r="Q42" s="141" t="s">
        <v>871</v>
      </c>
      <c r="R42" s="140" t="s">
        <v>872</v>
      </c>
      <c r="S42" s="140" t="s">
        <v>873</v>
      </c>
      <c r="T42" s="140" t="s">
        <v>874</v>
      </c>
      <c r="U42" s="140" t="s">
        <v>875</v>
      </c>
      <c r="V42" s="141" t="s">
        <v>876</v>
      </c>
    </row>
    <row r="43" spans="1:22" ht="377" x14ac:dyDescent="0.35">
      <c r="A43" s="153"/>
      <c r="B43" s="140" t="s">
        <v>877</v>
      </c>
      <c r="C43" s="140" t="s">
        <v>766</v>
      </c>
      <c r="D43" s="140" t="s">
        <v>878</v>
      </c>
      <c r="E43" s="140" t="s">
        <v>878</v>
      </c>
      <c r="F43" s="140" t="s">
        <v>878</v>
      </c>
      <c r="G43" s="140" t="s">
        <v>879</v>
      </c>
      <c r="H43" s="140" t="s">
        <v>879</v>
      </c>
      <c r="I43" s="140" t="s">
        <v>879</v>
      </c>
      <c r="J43" s="140" t="s">
        <v>879</v>
      </c>
      <c r="K43" s="140" t="s">
        <v>879</v>
      </c>
      <c r="L43" s="140" t="s">
        <v>879</v>
      </c>
      <c r="M43" s="140" t="s">
        <v>880</v>
      </c>
      <c r="N43" s="140" t="s">
        <v>881</v>
      </c>
      <c r="O43" s="140" t="s">
        <v>881</v>
      </c>
      <c r="P43" s="141" t="s">
        <v>871</v>
      </c>
      <c r="Q43" s="141" t="s">
        <v>871</v>
      </c>
      <c r="R43" s="140" t="s">
        <v>882</v>
      </c>
      <c r="S43" s="140" t="s">
        <v>882</v>
      </c>
      <c r="T43" s="140" t="s">
        <v>882</v>
      </c>
      <c r="U43" s="140" t="s">
        <v>883</v>
      </c>
      <c r="V43" s="141" t="s">
        <v>884</v>
      </c>
    </row>
    <row r="44" spans="1:22" ht="78" x14ac:dyDescent="0.35">
      <c r="A44" s="153"/>
      <c r="B44" s="140" t="s">
        <v>885</v>
      </c>
      <c r="C44" s="140" t="s">
        <v>766</v>
      </c>
      <c r="D44" s="140" t="s">
        <v>886</v>
      </c>
      <c r="E44" s="140" t="s">
        <v>886</v>
      </c>
      <c r="F44" s="140" t="s">
        <v>886</v>
      </c>
      <c r="G44" s="140" t="s">
        <v>886</v>
      </c>
      <c r="H44" s="140" t="s">
        <v>886</v>
      </c>
      <c r="I44" s="140" t="s">
        <v>886</v>
      </c>
      <c r="J44" s="140" t="s">
        <v>886</v>
      </c>
      <c r="K44" s="140" t="s">
        <v>886</v>
      </c>
      <c r="L44" s="140" t="s">
        <v>886</v>
      </c>
      <c r="M44" s="140" t="s">
        <v>886</v>
      </c>
      <c r="N44" s="140" t="s">
        <v>886</v>
      </c>
      <c r="O44" s="140" t="s">
        <v>886</v>
      </c>
      <c r="P44" s="141" t="s">
        <v>871</v>
      </c>
      <c r="Q44" s="141" t="s">
        <v>871</v>
      </c>
      <c r="R44" s="140" t="s">
        <v>886</v>
      </c>
      <c r="S44" s="140" t="s">
        <v>886</v>
      </c>
      <c r="T44" s="140" t="s">
        <v>886</v>
      </c>
      <c r="U44" s="140" t="s">
        <v>886</v>
      </c>
      <c r="V44" s="141" t="s">
        <v>884</v>
      </c>
    </row>
    <row r="45" spans="1:22" ht="286" x14ac:dyDescent="0.35">
      <c r="A45" s="153"/>
      <c r="B45" s="140" t="s">
        <v>887</v>
      </c>
      <c r="C45" s="140" t="s">
        <v>766</v>
      </c>
      <c r="D45" s="140" t="s">
        <v>888</v>
      </c>
      <c r="E45" s="140" t="s">
        <v>888</v>
      </c>
      <c r="F45" s="140" t="s">
        <v>888</v>
      </c>
      <c r="G45" s="140" t="s">
        <v>888</v>
      </c>
      <c r="H45" s="140" t="s">
        <v>888</v>
      </c>
      <c r="I45" s="140" t="s">
        <v>888</v>
      </c>
      <c r="J45" s="140" t="s">
        <v>888</v>
      </c>
      <c r="K45" s="140" t="s">
        <v>888</v>
      </c>
      <c r="L45" s="140" t="s">
        <v>888</v>
      </c>
      <c r="M45" s="140" t="s">
        <v>888</v>
      </c>
      <c r="N45" s="140" t="s">
        <v>888</v>
      </c>
      <c r="O45" s="140" t="s">
        <v>888</v>
      </c>
      <c r="P45" s="141" t="s">
        <v>889</v>
      </c>
      <c r="Q45" s="141" t="s">
        <v>890</v>
      </c>
      <c r="R45" s="140" t="s">
        <v>891</v>
      </c>
      <c r="S45" s="140" t="s">
        <v>891</v>
      </c>
      <c r="T45" s="140" t="s">
        <v>891</v>
      </c>
      <c r="U45" s="140" t="s">
        <v>892</v>
      </c>
      <c r="V45" s="141" t="s">
        <v>893</v>
      </c>
    </row>
    <row r="46" spans="1:22" ht="169" x14ac:dyDescent="0.35">
      <c r="A46" s="153"/>
      <c r="B46" s="140" t="s">
        <v>894</v>
      </c>
      <c r="C46" s="140" t="s">
        <v>766</v>
      </c>
      <c r="D46" s="140" t="s">
        <v>895</v>
      </c>
      <c r="E46" s="140" t="s">
        <v>895</v>
      </c>
      <c r="F46" s="140" t="s">
        <v>895</v>
      </c>
      <c r="G46" s="140" t="s">
        <v>895</v>
      </c>
      <c r="H46" s="140" t="s">
        <v>895</v>
      </c>
      <c r="I46" s="140" t="s">
        <v>895</v>
      </c>
      <c r="J46" s="140" t="s">
        <v>895</v>
      </c>
      <c r="K46" s="140" t="s">
        <v>895</v>
      </c>
      <c r="L46" s="140" t="s">
        <v>895</v>
      </c>
      <c r="M46" s="140" t="s">
        <v>895</v>
      </c>
      <c r="N46" s="140" t="s">
        <v>895</v>
      </c>
      <c r="O46" s="140" t="s">
        <v>895</v>
      </c>
      <c r="P46" s="141" t="s">
        <v>896</v>
      </c>
      <c r="Q46" s="141" t="s">
        <v>896</v>
      </c>
      <c r="R46" s="140" t="s">
        <v>897</v>
      </c>
      <c r="S46" s="140" t="s">
        <v>897</v>
      </c>
      <c r="T46" s="140" t="s">
        <v>897</v>
      </c>
      <c r="U46" s="140" t="s">
        <v>897</v>
      </c>
      <c r="V46" s="141" t="s">
        <v>898</v>
      </c>
    </row>
    <row r="47" spans="1:22" ht="91" x14ac:dyDescent="0.35">
      <c r="A47" s="153"/>
      <c r="B47" s="140" t="s">
        <v>899</v>
      </c>
      <c r="C47" s="140" t="s">
        <v>766</v>
      </c>
      <c r="D47" s="140" t="s">
        <v>900</v>
      </c>
      <c r="E47" s="140" t="s">
        <v>900</v>
      </c>
      <c r="F47" s="140" t="s">
        <v>900</v>
      </c>
      <c r="G47" s="140" t="s">
        <v>900</v>
      </c>
      <c r="H47" s="140" t="s">
        <v>900</v>
      </c>
      <c r="I47" s="140" t="s">
        <v>900</v>
      </c>
      <c r="J47" s="140" t="s">
        <v>900</v>
      </c>
      <c r="K47" s="140" t="s">
        <v>900</v>
      </c>
      <c r="L47" s="140" t="s">
        <v>900</v>
      </c>
      <c r="M47" s="140" t="s">
        <v>900</v>
      </c>
      <c r="N47" s="140" t="s">
        <v>900</v>
      </c>
      <c r="O47" s="140" t="s">
        <v>900</v>
      </c>
      <c r="P47" s="141" t="s">
        <v>901</v>
      </c>
      <c r="Q47" s="141" t="s">
        <v>902</v>
      </c>
      <c r="R47" s="140" t="s">
        <v>900</v>
      </c>
      <c r="S47" s="140" t="s">
        <v>900</v>
      </c>
      <c r="T47" s="140" t="s">
        <v>900</v>
      </c>
      <c r="U47" s="140" t="s">
        <v>900</v>
      </c>
      <c r="V47" s="141" t="s">
        <v>903</v>
      </c>
    </row>
    <row r="48" spans="1:22" ht="289" customHeight="1" x14ac:dyDescent="0.35">
      <c r="A48" s="153"/>
      <c r="B48" s="140" t="s">
        <v>904</v>
      </c>
      <c r="C48" s="140" t="s">
        <v>766</v>
      </c>
      <c r="D48" s="140" t="s">
        <v>905</v>
      </c>
      <c r="E48" s="140" t="s">
        <v>905</v>
      </c>
      <c r="F48" s="140" t="s">
        <v>905</v>
      </c>
      <c r="G48" s="140" t="s">
        <v>905</v>
      </c>
      <c r="H48" s="140" t="s">
        <v>905</v>
      </c>
      <c r="I48" s="140" t="s">
        <v>905</v>
      </c>
      <c r="J48" s="140" t="s">
        <v>905</v>
      </c>
      <c r="K48" s="140" t="s">
        <v>905</v>
      </c>
      <c r="L48" s="140" t="s">
        <v>905</v>
      </c>
      <c r="M48" s="140" t="s">
        <v>905</v>
      </c>
      <c r="N48" s="140" t="s">
        <v>905</v>
      </c>
      <c r="O48" s="140" t="s">
        <v>905</v>
      </c>
      <c r="P48" s="141" t="s">
        <v>906</v>
      </c>
      <c r="Q48" s="141" t="s">
        <v>906</v>
      </c>
      <c r="R48" s="140" t="s">
        <v>907</v>
      </c>
      <c r="S48" s="140" t="s">
        <v>907</v>
      </c>
      <c r="T48" s="140" t="s">
        <v>907</v>
      </c>
      <c r="U48" s="140" t="s">
        <v>907</v>
      </c>
      <c r="V48" s="141" t="s">
        <v>908</v>
      </c>
    </row>
    <row r="49" spans="1:22" ht="403" x14ac:dyDescent="0.35">
      <c r="A49" s="154" t="s">
        <v>909</v>
      </c>
      <c r="B49" s="140" t="s">
        <v>910</v>
      </c>
      <c r="C49" s="140" t="s">
        <v>766</v>
      </c>
      <c r="D49" s="140" t="s">
        <v>911</v>
      </c>
      <c r="E49" s="140" t="s">
        <v>911</v>
      </c>
      <c r="F49" s="140" t="s">
        <v>911</v>
      </c>
      <c r="G49" s="140" t="s">
        <v>911</v>
      </c>
      <c r="H49" s="140" t="s">
        <v>911</v>
      </c>
      <c r="I49" s="140" t="s">
        <v>911</v>
      </c>
      <c r="J49" s="140" t="s">
        <v>911</v>
      </c>
      <c r="K49" s="140" t="s">
        <v>911</v>
      </c>
      <c r="L49" s="140" t="s">
        <v>911</v>
      </c>
      <c r="M49" s="140" t="s">
        <v>911</v>
      </c>
      <c r="N49" s="140" t="s">
        <v>911</v>
      </c>
      <c r="O49" s="140" t="s">
        <v>911</v>
      </c>
      <c r="P49" s="140" t="s">
        <v>911</v>
      </c>
      <c r="Q49" s="140" t="s">
        <v>911</v>
      </c>
      <c r="R49" s="140" t="s">
        <v>911</v>
      </c>
      <c r="S49" s="140" t="s">
        <v>911</v>
      </c>
      <c r="T49" s="140" t="s">
        <v>911</v>
      </c>
      <c r="U49" s="140" t="s">
        <v>911</v>
      </c>
      <c r="V49" s="140" t="s">
        <v>911</v>
      </c>
    </row>
    <row r="50" spans="1:22" ht="260" x14ac:dyDescent="0.35">
      <c r="A50" s="155"/>
      <c r="B50" s="140" t="s">
        <v>912</v>
      </c>
      <c r="C50" s="140" t="s">
        <v>766</v>
      </c>
      <c r="D50" s="140" t="s">
        <v>1342</v>
      </c>
      <c r="E50" s="140" t="s">
        <v>1342</v>
      </c>
      <c r="F50" s="140" t="s">
        <v>1342</v>
      </c>
      <c r="G50" s="140" t="s">
        <v>1342</v>
      </c>
      <c r="H50" s="140" t="s">
        <v>1342</v>
      </c>
      <c r="I50" s="140" t="s">
        <v>1342</v>
      </c>
      <c r="J50" s="140" t="s">
        <v>1342</v>
      </c>
      <c r="K50" s="140" t="s">
        <v>1342</v>
      </c>
      <c r="L50" s="140" t="s">
        <v>1342</v>
      </c>
      <c r="M50" s="140" t="s">
        <v>1342</v>
      </c>
      <c r="N50" s="140" t="s">
        <v>1342</v>
      </c>
      <c r="O50" s="140" t="s">
        <v>1342</v>
      </c>
      <c r="P50" s="140" t="s">
        <v>1342</v>
      </c>
      <c r="Q50" s="140" t="s">
        <v>1342</v>
      </c>
      <c r="R50" s="140" t="s">
        <v>1342</v>
      </c>
      <c r="S50" s="140" t="s">
        <v>1342</v>
      </c>
      <c r="T50" s="140" t="s">
        <v>1342</v>
      </c>
      <c r="U50" s="140" t="s">
        <v>1342</v>
      </c>
      <c r="V50" s="140" t="s">
        <v>1342</v>
      </c>
    </row>
    <row r="51" spans="1:22" ht="156" x14ac:dyDescent="0.35">
      <c r="A51" s="156"/>
      <c r="B51" s="140" t="s">
        <v>913</v>
      </c>
      <c r="C51" s="140" t="s">
        <v>766</v>
      </c>
      <c r="D51" s="140" t="s">
        <v>914</v>
      </c>
      <c r="E51" s="140" t="s">
        <v>914</v>
      </c>
      <c r="F51" s="140" t="s">
        <v>914</v>
      </c>
      <c r="G51" s="140" t="s">
        <v>914</v>
      </c>
      <c r="H51" s="140" t="s">
        <v>914</v>
      </c>
      <c r="I51" s="140" t="s">
        <v>914</v>
      </c>
      <c r="J51" s="140" t="s">
        <v>914</v>
      </c>
      <c r="K51" s="140" t="s">
        <v>914</v>
      </c>
      <c r="L51" s="140" t="s">
        <v>914</v>
      </c>
      <c r="M51" s="140" t="s">
        <v>914</v>
      </c>
      <c r="N51" s="140" t="s">
        <v>914</v>
      </c>
      <c r="O51" s="140" t="s">
        <v>914</v>
      </c>
      <c r="P51" s="140" t="s">
        <v>914</v>
      </c>
      <c r="Q51" s="140" t="s">
        <v>914</v>
      </c>
      <c r="R51" s="140" t="s">
        <v>914</v>
      </c>
      <c r="S51" s="140" t="s">
        <v>914</v>
      </c>
      <c r="T51" s="140" t="s">
        <v>914</v>
      </c>
      <c r="U51" s="140" t="s">
        <v>914</v>
      </c>
      <c r="V51" s="140" t="s">
        <v>914</v>
      </c>
    </row>
    <row r="52" spans="1:22" ht="390" x14ac:dyDescent="0.35">
      <c r="A52" s="138" t="s">
        <v>915</v>
      </c>
      <c r="B52" s="143" t="s">
        <v>916</v>
      </c>
      <c r="C52" s="148" t="s">
        <v>766</v>
      </c>
      <c r="D52" s="140" t="s">
        <v>917</v>
      </c>
      <c r="E52" s="140" t="s">
        <v>917</v>
      </c>
      <c r="F52" s="140" t="s">
        <v>917</v>
      </c>
      <c r="G52" s="140" t="s">
        <v>917</v>
      </c>
      <c r="H52" s="140" t="s">
        <v>917</v>
      </c>
      <c r="I52" s="140" t="s">
        <v>917</v>
      </c>
      <c r="J52" s="140" t="s">
        <v>917</v>
      </c>
      <c r="K52" s="140" t="s">
        <v>917</v>
      </c>
      <c r="L52" s="140" t="s">
        <v>917</v>
      </c>
      <c r="M52" s="140" t="s">
        <v>917</v>
      </c>
      <c r="N52" s="140" t="s">
        <v>917</v>
      </c>
      <c r="O52" s="140" t="s">
        <v>917</v>
      </c>
      <c r="P52" s="140" t="s">
        <v>917</v>
      </c>
      <c r="Q52" s="140" t="s">
        <v>917</v>
      </c>
      <c r="R52" s="140" t="s">
        <v>917</v>
      </c>
      <c r="S52" s="140" t="s">
        <v>917</v>
      </c>
      <c r="T52" s="140" t="s">
        <v>917</v>
      </c>
      <c r="U52" s="140" t="s">
        <v>917</v>
      </c>
      <c r="V52" s="140" t="s">
        <v>917</v>
      </c>
    </row>
    <row r="53" spans="1:22" ht="65" x14ac:dyDescent="0.35">
      <c r="A53" s="152" t="s">
        <v>918</v>
      </c>
      <c r="B53" s="143" t="s">
        <v>919</v>
      </c>
      <c r="C53" s="143" t="s">
        <v>766</v>
      </c>
      <c r="D53" s="143" t="s">
        <v>920</v>
      </c>
      <c r="E53" s="143" t="s">
        <v>920</v>
      </c>
      <c r="F53" s="143" t="s">
        <v>920</v>
      </c>
      <c r="G53" s="143" t="s">
        <v>920</v>
      </c>
      <c r="H53" s="143" t="s">
        <v>920</v>
      </c>
      <c r="I53" s="143" t="s">
        <v>920</v>
      </c>
      <c r="J53" s="143" t="s">
        <v>920</v>
      </c>
      <c r="K53" s="143" t="s">
        <v>920</v>
      </c>
      <c r="L53" s="143" t="s">
        <v>920</v>
      </c>
      <c r="M53" s="143" t="s">
        <v>920</v>
      </c>
      <c r="N53" s="143" t="s">
        <v>920</v>
      </c>
      <c r="O53" s="143" t="s">
        <v>920</v>
      </c>
      <c r="P53" s="145" t="s">
        <v>920</v>
      </c>
      <c r="Q53" s="145" t="s">
        <v>920</v>
      </c>
      <c r="R53" s="143" t="s">
        <v>920</v>
      </c>
      <c r="S53" s="143" t="s">
        <v>920</v>
      </c>
      <c r="T53" s="143" t="s">
        <v>920</v>
      </c>
      <c r="U53" s="143" t="s">
        <v>920</v>
      </c>
      <c r="V53" s="145" t="s">
        <v>920</v>
      </c>
    </row>
    <row r="54" spans="1:22" ht="260" x14ac:dyDescent="0.35">
      <c r="A54" s="153"/>
      <c r="B54" s="143" t="s">
        <v>921</v>
      </c>
      <c r="C54" s="143" t="s">
        <v>766</v>
      </c>
      <c r="D54" s="143" t="s">
        <v>922</v>
      </c>
      <c r="E54" s="143" t="s">
        <v>922</v>
      </c>
      <c r="F54" s="143" t="s">
        <v>922</v>
      </c>
      <c r="G54" s="143" t="s">
        <v>922</v>
      </c>
      <c r="H54" s="143" t="s">
        <v>922</v>
      </c>
      <c r="I54" s="143" t="s">
        <v>922</v>
      </c>
      <c r="J54" s="143" t="s">
        <v>922</v>
      </c>
      <c r="K54" s="143" t="s">
        <v>922</v>
      </c>
      <c r="L54" s="143" t="s">
        <v>922</v>
      </c>
      <c r="M54" s="143" t="s">
        <v>922</v>
      </c>
      <c r="N54" s="143" t="s">
        <v>922</v>
      </c>
      <c r="O54" s="143" t="s">
        <v>922</v>
      </c>
      <c r="P54" s="145" t="s">
        <v>922</v>
      </c>
      <c r="Q54" s="145" t="s">
        <v>922</v>
      </c>
      <c r="R54" s="143" t="s">
        <v>922</v>
      </c>
      <c r="S54" s="143" t="s">
        <v>922</v>
      </c>
      <c r="T54" s="143" t="s">
        <v>922</v>
      </c>
      <c r="U54" s="143" t="s">
        <v>922</v>
      </c>
      <c r="V54" s="145" t="s">
        <v>922</v>
      </c>
    </row>
    <row r="55" spans="1:22" ht="130" x14ac:dyDescent="0.35">
      <c r="A55" s="153"/>
      <c r="B55" s="143" t="s">
        <v>923</v>
      </c>
      <c r="C55" s="143" t="s">
        <v>766</v>
      </c>
      <c r="D55" s="143" t="s">
        <v>924</v>
      </c>
      <c r="E55" s="143" t="s">
        <v>924</v>
      </c>
      <c r="F55" s="143" t="s">
        <v>924</v>
      </c>
      <c r="G55" s="143" t="s">
        <v>924</v>
      </c>
      <c r="H55" s="143" t="s">
        <v>924</v>
      </c>
      <c r="I55" s="143" t="s">
        <v>924</v>
      </c>
      <c r="J55" s="143" t="s">
        <v>924</v>
      </c>
      <c r="K55" s="143" t="s">
        <v>924</v>
      </c>
      <c r="L55" s="143" t="s">
        <v>924</v>
      </c>
      <c r="M55" s="143" t="s">
        <v>924</v>
      </c>
      <c r="N55" s="143" t="s">
        <v>924</v>
      </c>
      <c r="O55" s="143" t="s">
        <v>924</v>
      </c>
      <c r="P55" s="145" t="s">
        <v>924</v>
      </c>
      <c r="Q55" s="145" t="s">
        <v>924</v>
      </c>
      <c r="R55" s="143" t="s">
        <v>924</v>
      </c>
      <c r="S55" s="143" t="s">
        <v>924</v>
      </c>
      <c r="T55" s="143" t="s">
        <v>924</v>
      </c>
      <c r="U55" s="143" t="s">
        <v>924</v>
      </c>
      <c r="V55" s="145" t="s">
        <v>924</v>
      </c>
    </row>
    <row r="56" spans="1:22" ht="409.5" x14ac:dyDescent="0.35">
      <c r="A56" s="153"/>
      <c r="B56" s="143" t="s">
        <v>925</v>
      </c>
      <c r="C56" s="143" t="s">
        <v>766</v>
      </c>
      <c r="D56" s="143" t="s">
        <v>926</v>
      </c>
      <c r="E56" s="143" t="s">
        <v>926</v>
      </c>
      <c r="F56" s="143" t="s">
        <v>926</v>
      </c>
      <c r="G56" s="143" t="s">
        <v>926</v>
      </c>
      <c r="H56" s="143" t="s">
        <v>926</v>
      </c>
      <c r="I56" s="143" t="s">
        <v>926</v>
      </c>
      <c r="J56" s="143" t="s">
        <v>926</v>
      </c>
      <c r="K56" s="143" t="s">
        <v>926</v>
      </c>
      <c r="L56" s="143" t="s">
        <v>926</v>
      </c>
      <c r="M56" s="143" t="s">
        <v>926</v>
      </c>
      <c r="N56" s="143" t="s">
        <v>926</v>
      </c>
      <c r="O56" s="143" t="s">
        <v>926</v>
      </c>
      <c r="P56" s="145" t="s">
        <v>926</v>
      </c>
      <c r="Q56" s="145" t="s">
        <v>926</v>
      </c>
      <c r="R56" s="143" t="s">
        <v>926</v>
      </c>
      <c r="S56" s="143" t="s">
        <v>926</v>
      </c>
      <c r="T56" s="143" t="s">
        <v>926</v>
      </c>
      <c r="U56" s="143" t="s">
        <v>926</v>
      </c>
      <c r="V56" s="145" t="s">
        <v>926</v>
      </c>
    </row>
    <row r="57" spans="1:22" ht="383.5" customHeight="1" x14ac:dyDescent="0.35">
      <c r="A57" s="153"/>
      <c r="B57" s="143" t="s">
        <v>927</v>
      </c>
      <c r="C57" s="143" t="s">
        <v>766</v>
      </c>
      <c r="D57" s="143" t="s">
        <v>928</v>
      </c>
      <c r="E57" s="143" t="s">
        <v>929</v>
      </c>
      <c r="F57" s="143" t="s">
        <v>930</v>
      </c>
      <c r="G57" s="143" t="s">
        <v>930</v>
      </c>
      <c r="H57" s="143" t="s">
        <v>930</v>
      </c>
      <c r="I57" s="143" t="s">
        <v>930</v>
      </c>
      <c r="J57" s="143" t="s">
        <v>930</v>
      </c>
      <c r="K57" s="143" t="s">
        <v>929</v>
      </c>
      <c r="L57" s="143" t="s">
        <v>929</v>
      </c>
      <c r="M57" s="143" t="s">
        <v>931</v>
      </c>
      <c r="N57" s="143" t="s">
        <v>930</v>
      </c>
      <c r="O57" s="143" t="s">
        <v>930</v>
      </c>
      <c r="P57" s="145" t="s">
        <v>929</v>
      </c>
      <c r="Q57" s="145" t="s">
        <v>929</v>
      </c>
      <c r="R57" s="143" t="s">
        <v>929</v>
      </c>
      <c r="S57" s="143" t="s">
        <v>929</v>
      </c>
      <c r="T57" s="143" t="s">
        <v>929</v>
      </c>
      <c r="U57" s="143" t="s">
        <v>929</v>
      </c>
      <c r="V57" s="145" t="s">
        <v>929</v>
      </c>
    </row>
    <row r="58" spans="1:22" ht="409.5" x14ac:dyDescent="0.35">
      <c r="A58" s="153"/>
      <c r="B58" s="143" t="s">
        <v>932</v>
      </c>
      <c r="C58" s="143" t="s">
        <v>766</v>
      </c>
      <c r="D58" s="143" t="s">
        <v>933</v>
      </c>
      <c r="E58" s="143" t="s">
        <v>933</v>
      </c>
      <c r="F58" s="143" t="s">
        <v>933</v>
      </c>
      <c r="G58" s="143" t="s">
        <v>933</v>
      </c>
      <c r="H58" s="143" t="s">
        <v>933</v>
      </c>
      <c r="I58" s="143" t="s">
        <v>933</v>
      </c>
      <c r="J58" s="143" t="s">
        <v>933</v>
      </c>
      <c r="K58" s="143" t="s">
        <v>933</v>
      </c>
      <c r="L58" s="143" t="s">
        <v>933</v>
      </c>
      <c r="M58" s="143" t="s">
        <v>933</v>
      </c>
      <c r="N58" s="143" t="s">
        <v>933</v>
      </c>
      <c r="O58" s="143" t="s">
        <v>933</v>
      </c>
      <c r="P58" s="145" t="s">
        <v>933</v>
      </c>
      <c r="Q58" s="145" t="s">
        <v>933</v>
      </c>
      <c r="R58" s="143" t="s">
        <v>933</v>
      </c>
      <c r="S58" s="143" t="s">
        <v>933</v>
      </c>
      <c r="T58" s="143" t="s">
        <v>933</v>
      </c>
      <c r="U58" s="143" t="s">
        <v>933</v>
      </c>
      <c r="V58" s="145" t="s">
        <v>933</v>
      </c>
    </row>
    <row r="59" spans="1:22" ht="312" x14ac:dyDescent="0.35">
      <c r="A59" s="153"/>
      <c r="B59" s="143" t="s">
        <v>934</v>
      </c>
      <c r="C59" s="143" t="s">
        <v>766</v>
      </c>
      <c r="D59" s="143" t="s">
        <v>935</v>
      </c>
      <c r="E59" s="143" t="s">
        <v>935</v>
      </c>
      <c r="F59" s="143" t="s">
        <v>935</v>
      </c>
      <c r="G59" s="143" t="s">
        <v>935</v>
      </c>
      <c r="H59" s="143" t="s">
        <v>935</v>
      </c>
      <c r="I59" s="143" t="s">
        <v>935</v>
      </c>
      <c r="J59" s="143" t="s">
        <v>935</v>
      </c>
      <c r="K59" s="143" t="s">
        <v>935</v>
      </c>
      <c r="L59" s="143" t="s">
        <v>935</v>
      </c>
      <c r="M59" s="143" t="s">
        <v>935</v>
      </c>
      <c r="N59" s="143" t="s">
        <v>935</v>
      </c>
      <c r="O59" s="143" t="s">
        <v>935</v>
      </c>
      <c r="P59" s="145" t="s">
        <v>935</v>
      </c>
      <c r="Q59" s="145" t="s">
        <v>935</v>
      </c>
      <c r="R59" s="143" t="s">
        <v>935</v>
      </c>
      <c r="S59" s="143" t="s">
        <v>935</v>
      </c>
      <c r="T59" s="143" t="s">
        <v>935</v>
      </c>
      <c r="U59" s="143" t="s">
        <v>935</v>
      </c>
      <c r="V59" s="145" t="s">
        <v>935</v>
      </c>
    </row>
    <row r="60" spans="1:22" ht="40.5" customHeight="1" x14ac:dyDescent="0.35">
      <c r="A60" s="153"/>
      <c r="B60" s="143" t="s">
        <v>936</v>
      </c>
      <c r="C60" s="143" t="s">
        <v>766</v>
      </c>
      <c r="D60" s="143" t="s">
        <v>937</v>
      </c>
      <c r="E60" s="143" t="s">
        <v>937</v>
      </c>
      <c r="F60" s="143" t="s">
        <v>937</v>
      </c>
      <c r="G60" s="143" t="s">
        <v>937</v>
      </c>
      <c r="H60" s="143" t="s">
        <v>937</v>
      </c>
      <c r="I60" s="143" t="s">
        <v>937</v>
      </c>
      <c r="J60" s="143" t="s">
        <v>937</v>
      </c>
      <c r="K60" s="143" t="s">
        <v>937</v>
      </c>
      <c r="L60" s="143" t="s">
        <v>937</v>
      </c>
      <c r="M60" s="143" t="s">
        <v>937</v>
      </c>
      <c r="N60" s="143" t="s">
        <v>937</v>
      </c>
      <c r="O60" s="143" t="s">
        <v>937</v>
      </c>
      <c r="P60" s="145" t="s">
        <v>937</v>
      </c>
      <c r="Q60" s="145" t="s">
        <v>937</v>
      </c>
      <c r="R60" s="143" t="s">
        <v>937</v>
      </c>
      <c r="S60" s="143" t="s">
        <v>937</v>
      </c>
      <c r="T60" s="143" t="s">
        <v>937</v>
      </c>
      <c r="U60" s="143" t="s">
        <v>937</v>
      </c>
      <c r="V60" s="145" t="s">
        <v>937</v>
      </c>
    </row>
    <row r="61" spans="1:22" ht="351" x14ac:dyDescent="0.35">
      <c r="A61" s="153"/>
      <c r="B61" s="143" t="s">
        <v>938</v>
      </c>
      <c r="C61" s="143" t="s">
        <v>766</v>
      </c>
      <c r="D61" s="143" t="s">
        <v>939</v>
      </c>
      <c r="E61" s="143" t="s">
        <v>939</v>
      </c>
      <c r="F61" s="143" t="s">
        <v>939</v>
      </c>
      <c r="G61" s="143" t="s">
        <v>939</v>
      </c>
      <c r="H61" s="143" t="s">
        <v>939</v>
      </c>
      <c r="I61" s="143" t="s">
        <v>939</v>
      </c>
      <c r="J61" s="143" t="s">
        <v>939</v>
      </c>
      <c r="K61" s="143" t="s">
        <v>939</v>
      </c>
      <c r="L61" s="143" t="s">
        <v>939</v>
      </c>
      <c r="M61" s="143" t="s">
        <v>939</v>
      </c>
      <c r="N61" s="143" t="s">
        <v>939</v>
      </c>
      <c r="O61" s="143" t="s">
        <v>939</v>
      </c>
      <c r="P61" s="145" t="s">
        <v>939</v>
      </c>
      <c r="Q61" s="145" t="s">
        <v>939</v>
      </c>
      <c r="R61" s="143" t="s">
        <v>939</v>
      </c>
      <c r="S61" s="143" t="s">
        <v>939</v>
      </c>
      <c r="T61" s="143" t="s">
        <v>939</v>
      </c>
      <c r="U61" s="143" t="s">
        <v>939</v>
      </c>
      <c r="V61" s="145" t="s">
        <v>939</v>
      </c>
    </row>
    <row r="62" spans="1:22" ht="143" x14ac:dyDescent="0.35">
      <c r="A62" s="157"/>
      <c r="B62" s="143" t="s">
        <v>940</v>
      </c>
      <c r="C62" s="143" t="s">
        <v>766</v>
      </c>
      <c r="D62" s="143" t="s">
        <v>941</v>
      </c>
      <c r="E62" s="143" t="s">
        <v>941</v>
      </c>
      <c r="F62" s="143" t="s">
        <v>941</v>
      </c>
      <c r="G62" s="143" t="s">
        <v>941</v>
      </c>
      <c r="H62" s="143" t="s">
        <v>941</v>
      </c>
      <c r="I62" s="143" t="s">
        <v>941</v>
      </c>
      <c r="J62" s="143" t="s">
        <v>941</v>
      </c>
      <c r="K62" s="143" t="s">
        <v>941</v>
      </c>
      <c r="L62" s="143" t="s">
        <v>941</v>
      </c>
      <c r="M62" s="143" t="s">
        <v>941</v>
      </c>
      <c r="N62" s="143" t="s">
        <v>941</v>
      </c>
      <c r="O62" s="143" t="s">
        <v>941</v>
      </c>
      <c r="P62" s="145" t="s">
        <v>941</v>
      </c>
      <c r="Q62" s="145" t="s">
        <v>941</v>
      </c>
      <c r="R62" s="143" t="s">
        <v>941</v>
      </c>
      <c r="S62" s="143" t="s">
        <v>941</v>
      </c>
      <c r="T62" s="143" t="s">
        <v>941</v>
      </c>
      <c r="U62" s="143" t="s">
        <v>941</v>
      </c>
      <c r="V62" s="145" t="s">
        <v>941</v>
      </c>
    </row>
    <row r="63" spans="1:22" x14ac:dyDescent="0.35">
      <c r="A63" s="138" t="s">
        <v>942</v>
      </c>
      <c r="B63" s="143" t="s">
        <v>943</v>
      </c>
      <c r="C63" s="143" t="s">
        <v>766</v>
      </c>
      <c r="D63" s="143" t="s">
        <v>850</v>
      </c>
      <c r="E63" s="143" t="s">
        <v>850</v>
      </c>
      <c r="F63" s="143" t="s">
        <v>850</v>
      </c>
      <c r="G63" s="143" t="s">
        <v>850</v>
      </c>
      <c r="H63" s="143" t="s">
        <v>850</v>
      </c>
      <c r="I63" s="143" t="s">
        <v>850</v>
      </c>
      <c r="J63" s="143" t="s">
        <v>850</v>
      </c>
      <c r="K63" s="143" t="s">
        <v>850</v>
      </c>
      <c r="L63" s="143" t="s">
        <v>850</v>
      </c>
      <c r="M63" s="143" t="s">
        <v>850</v>
      </c>
      <c r="N63" s="143" t="s">
        <v>850</v>
      </c>
      <c r="O63" s="143" t="s">
        <v>850</v>
      </c>
      <c r="P63" s="145" t="s">
        <v>850</v>
      </c>
      <c r="Q63" s="145" t="s">
        <v>850</v>
      </c>
      <c r="R63" s="143" t="s">
        <v>850</v>
      </c>
      <c r="S63" s="143" t="s">
        <v>850</v>
      </c>
      <c r="T63" s="143" t="s">
        <v>850</v>
      </c>
      <c r="U63" s="143" t="s">
        <v>850</v>
      </c>
      <c r="V63" s="145" t="s">
        <v>850</v>
      </c>
    </row>
    <row r="64" spans="1:22" ht="409.5" x14ac:dyDescent="0.35">
      <c r="A64" s="138" t="s">
        <v>944</v>
      </c>
      <c r="B64" s="143" t="s">
        <v>945</v>
      </c>
      <c r="C64" s="143" t="s">
        <v>766</v>
      </c>
      <c r="D64" s="143" t="s">
        <v>946</v>
      </c>
      <c r="E64" s="143" t="s">
        <v>946</v>
      </c>
      <c r="F64" s="143" t="s">
        <v>946</v>
      </c>
      <c r="G64" s="143" t="s">
        <v>946</v>
      </c>
      <c r="H64" s="143" t="s">
        <v>946</v>
      </c>
      <c r="I64" s="143" t="s">
        <v>946</v>
      </c>
      <c r="J64" s="143" t="s">
        <v>946</v>
      </c>
      <c r="K64" s="143" t="s">
        <v>946</v>
      </c>
      <c r="L64" s="143" t="s">
        <v>946</v>
      </c>
      <c r="M64" s="143" t="s">
        <v>946</v>
      </c>
      <c r="N64" s="143" t="s">
        <v>946</v>
      </c>
      <c r="O64" s="143" t="s">
        <v>946</v>
      </c>
      <c r="P64" s="143" t="s">
        <v>946</v>
      </c>
      <c r="Q64" s="143" t="s">
        <v>946</v>
      </c>
      <c r="R64" s="143" t="s">
        <v>946</v>
      </c>
      <c r="S64" s="143" t="s">
        <v>946</v>
      </c>
      <c r="T64" s="143" t="s">
        <v>946</v>
      </c>
      <c r="U64" s="143" t="s">
        <v>946</v>
      </c>
      <c r="V64" s="143" t="s">
        <v>946</v>
      </c>
    </row>
    <row r="65" spans="1:22" ht="104" x14ac:dyDescent="0.35">
      <c r="A65" s="139" t="s">
        <v>947</v>
      </c>
      <c r="B65" s="140" t="s">
        <v>948</v>
      </c>
      <c r="C65" s="140" t="s">
        <v>766</v>
      </c>
      <c r="D65" s="140" t="s">
        <v>949</v>
      </c>
      <c r="E65" s="140" t="s">
        <v>949</v>
      </c>
      <c r="F65" s="140" t="s">
        <v>949</v>
      </c>
      <c r="G65" s="140" t="s">
        <v>949</v>
      </c>
      <c r="H65" s="140" t="s">
        <v>949</v>
      </c>
      <c r="I65" s="140" t="s">
        <v>949</v>
      </c>
      <c r="J65" s="140" t="s">
        <v>949</v>
      </c>
      <c r="K65" s="140" t="s">
        <v>949</v>
      </c>
      <c r="L65" s="140" t="s">
        <v>949</v>
      </c>
      <c r="M65" s="140" t="s">
        <v>949</v>
      </c>
      <c r="N65" s="140" t="s">
        <v>949</v>
      </c>
      <c r="O65" s="140" t="s">
        <v>949</v>
      </c>
      <c r="P65" s="141" t="s">
        <v>949</v>
      </c>
      <c r="Q65" s="141" t="s">
        <v>949</v>
      </c>
      <c r="R65" s="140" t="s">
        <v>949</v>
      </c>
      <c r="S65" s="140" t="s">
        <v>949</v>
      </c>
      <c r="T65" s="140" t="s">
        <v>949</v>
      </c>
      <c r="U65" s="140" t="s">
        <v>949</v>
      </c>
      <c r="V65" s="141" t="s">
        <v>949</v>
      </c>
    </row>
  </sheetData>
  <mergeCells count="5">
    <mergeCell ref="A2:A7"/>
    <mergeCell ref="A8:A35"/>
    <mergeCell ref="A41:A48"/>
    <mergeCell ref="A49:A51"/>
    <mergeCell ref="A53:A6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9ACC-E535-474C-8596-689F0E207B5E}">
  <dimension ref="A2:M814"/>
  <sheetViews>
    <sheetView showGridLines="0" topLeftCell="A14" zoomScale="80" zoomScaleNormal="80" workbookViewId="0">
      <selection activeCell="A449" sqref="A449"/>
    </sheetView>
  </sheetViews>
  <sheetFormatPr defaultColWidth="9.1796875" defaultRowHeight="13" x14ac:dyDescent="0.3"/>
  <cols>
    <col min="1" max="1" width="20.26953125" style="61" customWidth="1"/>
    <col min="2" max="16384" width="9.1796875" style="61"/>
  </cols>
  <sheetData>
    <row r="2" spans="1:5" s="84" customFormat="1" x14ac:dyDescent="0.3">
      <c r="A2" s="84" t="s">
        <v>0</v>
      </c>
    </row>
    <row r="4" spans="1:5" x14ac:dyDescent="0.3">
      <c r="A4" s="78" t="s">
        <v>1</v>
      </c>
      <c r="B4" s="78"/>
      <c r="C4" s="78"/>
      <c r="D4" s="78"/>
      <c r="E4" s="78"/>
    </row>
    <row r="6" spans="1:5" s="83" customFormat="1" x14ac:dyDescent="0.3">
      <c r="A6" s="83" t="s">
        <v>2</v>
      </c>
    </row>
    <row r="7" spans="1:5" s="83" customFormat="1" x14ac:dyDescent="0.3"/>
    <row r="8" spans="1:5" s="83" customFormat="1" x14ac:dyDescent="0.3">
      <c r="B8" s="83" t="s">
        <v>4</v>
      </c>
    </row>
    <row r="9" spans="1:5" s="83" customFormat="1" x14ac:dyDescent="0.3">
      <c r="B9" s="83" t="s">
        <v>5</v>
      </c>
    </row>
    <row r="10" spans="1:5" s="83" customFormat="1" x14ac:dyDescent="0.3">
      <c r="B10" s="83" t="s">
        <v>6</v>
      </c>
    </row>
    <row r="11" spans="1:5" s="83" customFormat="1" x14ac:dyDescent="0.3">
      <c r="A11" s="83" t="s">
        <v>7</v>
      </c>
    </row>
    <row r="12" spans="1:5" s="83" customFormat="1" x14ac:dyDescent="0.3">
      <c r="B12" s="83" t="s">
        <v>8</v>
      </c>
    </row>
    <row r="13" spans="1:5" s="83" customFormat="1" x14ac:dyDescent="0.3">
      <c r="B13" s="83" t="s">
        <v>9</v>
      </c>
    </row>
    <row r="14" spans="1:5" s="83" customFormat="1" x14ac:dyDescent="0.3">
      <c r="A14" s="83" t="s">
        <v>10</v>
      </c>
    </row>
    <row r="15" spans="1:5" s="83" customFormat="1" x14ac:dyDescent="0.3">
      <c r="C15" s="83" t="s">
        <v>11</v>
      </c>
    </row>
    <row r="16" spans="1:5" s="83" customFormat="1" x14ac:dyDescent="0.3">
      <c r="C16" s="83" t="s">
        <v>12</v>
      </c>
    </row>
    <row r="17" spans="1:9" s="83" customFormat="1" x14ac:dyDescent="0.3">
      <c r="C17" s="83" t="s">
        <v>13</v>
      </c>
    </row>
    <row r="18" spans="1:9" s="83" customFormat="1" x14ac:dyDescent="0.3">
      <c r="C18" s="83" t="s">
        <v>14</v>
      </c>
    </row>
    <row r="19" spans="1:9" s="83" customFormat="1" x14ac:dyDescent="0.3">
      <c r="C19" s="83" t="s">
        <v>15</v>
      </c>
    </row>
    <row r="20" spans="1:9" s="83" customFormat="1" x14ac:dyDescent="0.3">
      <c r="C20" s="83" t="s">
        <v>16</v>
      </c>
    </row>
    <row r="21" spans="1:9" s="83" customFormat="1" x14ac:dyDescent="0.3">
      <c r="A21" s="83" t="s">
        <v>953</v>
      </c>
      <c r="B21" s="83" t="s">
        <v>18</v>
      </c>
    </row>
    <row r="22" spans="1:9" s="83" customFormat="1" x14ac:dyDescent="0.3">
      <c r="C22" s="83" t="s">
        <v>19</v>
      </c>
    </row>
    <row r="23" spans="1:9" s="83" customFormat="1" x14ac:dyDescent="0.3">
      <c r="C23" s="83" t="s">
        <v>20</v>
      </c>
    </row>
    <row r="24" spans="1:9" s="83" customFormat="1" x14ac:dyDescent="0.3">
      <c r="C24" s="83" t="s">
        <v>21</v>
      </c>
    </row>
    <row r="25" spans="1:9" s="83" customFormat="1" x14ac:dyDescent="0.3">
      <c r="C25" s="83" t="s">
        <v>22</v>
      </c>
    </row>
    <row r="26" spans="1:9" s="83" customFormat="1" x14ac:dyDescent="0.3">
      <c r="A26" s="83" t="s">
        <v>23</v>
      </c>
    </row>
    <row r="27" spans="1:9" x14ac:dyDescent="0.3">
      <c r="B27" s="61" t="s">
        <v>24</v>
      </c>
    </row>
    <row r="28" spans="1:9" x14ac:dyDescent="0.3">
      <c r="B28" s="61" t="s">
        <v>25</v>
      </c>
    </row>
    <row r="30" spans="1:9" x14ac:dyDescent="0.3">
      <c r="A30" s="78" t="s">
        <v>26</v>
      </c>
      <c r="B30" s="78"/>
      <c r="C30" s="78"/>
      <c r="D30" s="78"/>
      <c r="E30" s="78"/>
      <c r="I30" s="61" t="s">
        <v>954</v>
      </c>
    </row>
    <row r="32" spans="1:9" s="83" customFormat="1" x14ac:dyDescent="0.3">
      <c r="A32" s="83" t="s">
        <v>2</v>
      </c>
      <c r="B32" s="83" t="s">
        <v>3</v>
      </c>
    </row>
    <row r="33" spans="1:3" s="83" customFormat="1" x14ac:dyDescent="0.3">
      <c r="A33" s="83" t="s">
        <v>3</v>
      </c>
    </row>
    <row r="34" spans="1:3" s="83" customFormat="1" x14ac:dyDescent="0.3">
      <c r="B34" s="83" t="s">
        <v>4</v>
      </c>
    </row>
    <row r="35" spans="1:3" s="83" customFormat="1" x14ac:dyDescent="0.3">
      <c r="B35" s="83" t="s">
        <v>5</v>
      </c>
    </row>
    <row r="36" spans="1:3" s="83" customFormat="1" x14ac:dyDescent="0.3">
      <c r="B36" s="83" t="s">
        <v>6</v>
      </c>
    </row>
    <row r="37" spans="1:3" s="83" customFormat="1" x14ac:dyDescent="0.3">
      <c r="A37" s="83" t="s">
        <v>7</v>
      </c>
    </row>
    <row r="38" spans="1:3" s="83" customFormat="1" x14ac:dyDescent="0.3">
      <c r="B38" s="83" t="s">
        <v>27</v>
      </c>
    </row>
    <row r="39" spans="1:3" s="83" customFormat="1" x14ac:dyDescent="0.3">
      <c r="B39" s="83" t="s">
        <v>28</v>
      </c>
    </row>
    <row r="40" spans="1:3" x14ac:dyDescent="0.3">
      <c r="A40" s="61" t="s">
        <v>29</v>
      </c>
    </row>
    <row r="41" spans="1:3" x14ac:dyDescent="0.3">
      <c r="C41" s="82" t="s">
        <v>11</v>
      </c>
    </row>
    <row r="42" spans="1:3" x14ac:dyDescent="0.3">
      <c r="C42" s="82" t="s">
        <v>12</v>
      </c>
    </row>
    <row r="43" spans="1:3" x14ac:dyDescent="0.3">
      <c r="C43" s="61" t="s">
        <v>13</v>
      </c>
    </row>
    <row r="44" spans="1:3" s="83" customFormat="1" x14ac:dyDescent="0.3">
      <c r="C44" s="83" t="s">
        <v>14</v>
      </c>
    </row>
    <row r="45" spans="1:3" x14ac:dyDescent="0.3">
      <c r="C45" s="61" t="s">
        <v>15</v>
      </c>
    </row>
    <row r="46" spans="1:3" x14ac:dyDescent="0.3">
      <c r="C46" s="82" t="s">
        <v>16</v>
      </c>
    </row>
    <row r="47" spans="1:3" x14ac:dyDescent="0.3">
      <c r="A47" s="61" t="s">
        <v>23</v>
      </c>
    </row>
    <row r="48" spans="1:3" x14ac:dyDescent="0.3">
      <c r="B48" s="61" t="s">
        <v>24</v>
      </c>
    </row>
    <row r="49" spans="1:5" x14ac:dyDescent="0.3">
      <c r="B49" s="61" t="s">
        <v>25</v>
      </c>
    </row>
    <row r="51" spans="1:5" x14ac:dyDescent="0.3">
      <c r="A51" s="78" t="s">
        <v>30</v>
      </c>
      <c r="B51" s="78"/>
      <c r="C51" s="78"/>
      <c r="D51" s="78"/>
      <c r="E51" s="78"/>
    </row>
    <row r="53" spans="1:5" s="83" customFormat="1" x14ac:dyDescent="0.3">
      <c r="A53" s="83" t="s">
        <v>2</v>
      </c>
    </row>
    <row r="54" spans="1:5" s="83" customFormat="1" x14ac:dyDescent="0.3">
      <c r="A54" s="83" t="s">
        <v>3</v>
      </c>
    </row>
    <row r="55" spans="1:5" s="83" customFormat="1" x14ac:dyDescent="0.3">
      <c r="B55" s="83" t="s">
        <v>4</v>
      </c>
    </row>
    <row r="56" spans="1:5" s="83" customFormat="1" x14ac:dyDescent="0.3">
      <c r="B56" s="83" t="s">
        <v>5</v>
      </c>
    </row>
    <row r="57" spans="1:5" s="83" customFormat="1" x14ac:dyDescent="0.3">
      <c r="B57" s="83" t="s">
        <v>6</v>
      </c>
    </row>
    <row r="58" spans="1:5" s="83" customFormat="1" x14ac:dyDescent="0.3">
      <c r="A58" s="83" t="s">
        <v>7</v>
      </c>
    </row>
    <row r="59" spans="1:5" s="83" customFormat="1" x14ac:dyDescent="0.3">
      <c r="B59" s="83" t="s">
        <v>27</v>
      </c>
    </row>
    <row r="60" spans="1:5" s="83" customFormat="1" x14ac:dyDescent="0.3">
      <c r="B60" s="83" t="s">
        <v>31</v>
      </c>
    </row>
    <row r="61" spans="1:5" s="83" customFormat="1" x14ac:dyDescent="0.3">
      <c r="A61" s="83" t="s">
        <v>32</v>
      </c>
    </row>
    <row r="62" spans="1:5" s="83" customFormat="1" x14ac:dyDescent="0.3">
      <c r="C62" s="83" t="s">
        <v>33</v>
      </c>
    </row>
    <row r="63" spans="1:5" s="83" customFormat="1" x14ac:dyDescent="0.3">
      <c r="C63" s="83" t="s">
        <v>12</v>
      </c>
    </row>
    <row r="64" spans="1:5" s="83" customFormat="1" x14ac:dyDescent="0.3">
      <c r="C64" s="83" t="s">
        <v>13</v>
      </c>
    </row>
    <row r="65" spans="1:5" s="83" customFormat="1" x14ac:dyDescent="0.3">
      <c r="C65" s="83" t="s">
        <v>14</v>
      </c>
    </row>
    <row r="66" spans="1:5" x14ac:dyDescent="0.3">
      <c r="C66" s="61" t="s">
        <v>15</v>
      </c>
    </row>
    <row r="67" spans="1:5" x14ac:dyDescent="0.3">
      <c r="C67" s="82" t="s">
        <v>16</v>
      </c>
    </row>
    <row r="68" spans="1:5" x14ac:dyDescent="0.3">
      <c r="A68" s="61" t="s">
        <v>23</v>
      </c>
    </row>
    <row r="69" spans="1:5" x14ac:dyDescent="0.3">
      <c r="B69" s="61" t="s">
        <v>24</v>
      </c>
    </row>
    <row r="70" spans="1:5" x14ac:dyDescent="0.3">
      <c r="B70" s="61" t="s">
        <v>25</v>
      </c>
    </row>
    <row r="73" spans="1:5" x14ac:dyDescent="0.3">
      <c r="A73" s="78" t="s">
        <v>34</v>
      </c>
      <c r="B73" s="78"/>
      <c r="C73" s="78"/>
      <c r="D73" s="78"/>
      <c r="E73" s="78"/>
    </row>
    <row r="75" spans="1:5" s="83" customFormat="1" x14ac:dyDescent="0.3">
      <c r="A75" s="83" t="s">
        <v>2</v>
      </c>
    </row>
    <row r="76" spans="1:5" s="83" customFormat="1" x14ac:dyDescent="0.3">
      <c r="A76" s="83" t="s">
        <v>3</v>
      </c>
    </row>
    <row r="77" spans="1:5" s="83" customFormat="1" x14ac:dyDescent="0.3">
      <c r="B77" s="83" t="s">
        <v>4</v>
      </c>
    </row>
    <row r="78" spans="1:5" s="83" customFormat="1" x14ac:dyDescent="0.3">
      <c r="B78" s="83" t="s">
        <v>5</v>
      </c>
    </row>
    <row r="79" spans="1:5" s="83" customFormat="1" x14ac:dyDescent="0.3">
      <c r="B79" s="83" t="s">
        <v>6</v>
      </c>
    </row>
    <row r="80" spans="1:5" s="83" customFormat="1" x14ac:dyDescent="0.3">
      <c r="A80" s="83" t="s">
        <v>7</v>
      </c>
    </row>
    <row r="81" spans="1:3" s="83" customFormat="1" x14ac:dyDescent="0.3">
      <c r="B81" s="83" t="s">
        <v>35</v>
      </c>
    </row>
    <row r="82" spans="1:3" s="83" customFormat="1" x14ac:dyDescent="0.3">
      <c r="B82" s="83" t="s">
        <v>31</v>
      </c>
    </row>
    <row r="83" spans="1:3" s="83" customFormat="1" x14ac:dyDescent="0.3">
      <c r="A83" s="83" t="s">
        <v>36</v>
      </c>
    </row>
    <row r="84" spans="1:3" s="83" customFormat="1" x14ac:dyDescent="0.3">
      <c r="A84" s="83" t="s">
        <v>32</v>
      </c>
    </row>
    <row r="85" spans="1:3" s="83" customFormat="1" x14ac:dyDescent="0.3">
      <c r="C85" s="83" t="s">
        <v>33</v>
      </c>
    </row>
    <row r="86" spans="1:3" s="83" customFormat="1" x14ac:dyDescent="0.3">
      <c r="C86" s="83" t="s">
        <v>12</v>
      </c>
    </row>
    <row r="87" spans="1:3" s="83" customFormat="1" x14ac:dyDescent="0.3">
      <c r="C87" s="83" t="s">
        <v>13</v>
      </c>
    </row>
    <row r="88" spans="1:3" s="83" customFormat="1" x14ac:dyDescent="0.3">
      <c r="C88" s="83" t="s">
        <v>14</v>
      </c>
    </row>
    <row r="89" spans="1:3" x14ac:dyDescent="0.3">
      <c r="C89" s="61" t="s">
        <v>15</v>
      </c>
    </row>
    <row r="90" spans="1:3" x14ac:dyDescent="0.3">
      <c r="C90" s="82" t="s">
        <v>16</v>
      </c>
    </row>
    <row r="91" spans="1:3" x14ac:dyDescent="0.3">
      <c r="A91" s="61" t="s">
        <v>37</v>
      </c>
    </row>
    <row r="92" spans="1:3" x14ac:dyDescent="0.3">
      <c r="A92" s="61" t="s">
        <v>10</v>
      </c>
    </row>
    <row r="93" spans="1:3" x14ac:dyDescent="0.3">
      <c r="C93" s="61" t="s">
        <v>11</v>
      </c>
    </row>
    <row r="94" spans="1:3" s="83" customFormat="1" x14ac:dyDescent="0.3">
      <c r="C94" s="83" t="s">
        <v>12</v>
      </c>
    </row>
    <row r="95" spans="1:3" s="83" customFormat="1" x14ac:dyDescent="0.3">
      <c r="C95" s="83" t="s">
        <v>13</v>
      </c>
    </row>
    <row r="96" spans="1:3" s="83" customFormat="1" x14ac:dyDescent="0.3">
      <c r="C96" s="83" t="s">
        <v>14</v>
      </c>
    </row>
    <row r="97" spans="1:5" s="83" customFormat="1" x14ac:dyDescent="0.3">
      <c r="C97" s="83" t="s">
        <v>15</v>
      </c>
    </row>
    <row r="98" spans="1:5" s="83" customFormat="1" x14ac:dyDescent="0.3">
      <c r="C98" s="83" t="s">
        <v>16</v>
      </c>
    </row>
    <row r="99" spans="1:5" s="83" customFormat="1" x14ac:dyDescent="0.3">
      <c r="A99" s="83" t="s">
        <v>17</v>
      </c>
      <c r="B99" s="83" t="s">
        <v>18</v>
      </c>
    </row>
    <row r="100" spans="1:5" s="83" customFormat="1" x14ac:dyDescent="0.3">
      <c r="C100" s="83" t="s">
        <v>19</v>
      </c>
    </row>
    <row r="101" spans="1:5" s="83" customFormat="1" x14ac:dyDescent="0.3">
      <c r="C101" s="83" t="s">
        <v>20</v>
      </c>
    </row>
    <row r="102" spans="1:5" s="83" customFormat="1" x14ac:dyDescent="0.3">
      <c r="C102" s="83" t="s">
        <v>21</v>
      </c>
    </row>
    <row r="103" spans="1:5" s="83" customFormat="1" x14ac:dyDescent="0.3">
      <c r="C103" s="83" t="s">
        <v>22</v>
      </c>
    </row>
    <row r="104" spans="1:5" x14ac:dyDescent="0.3">
      <c r="A104" s="61" t="s">
        <v>23</v>
      </c>
    </row>
    <row r="105" spans="1:5" x14ac:dyDescent="0.3">
      <c r="B105" s="61" t="s">
        <v>24</v>
      </c>
    </row>
    <row r="106" spans="1:5" x14ac:dyDescent="0.3">
      <c r="B106" s="61" t="s">
        <v>25</v>
      </c>
    </row>
    <row r="108" spans="1:5" s="84" customFormat="1" x14ac:dyDescent="0.3">
      <c r="A108" s="84" t="s">
        <v>955</v>
      </c>
    </row>
    <row r="109" spans="1:5" x14ac:dyDescent="0.3">
      <c r="A109" s="79" t="s">
        <v>38</v>
      </c>
      <c r="B109" s="79"/>
      <c r="C109" s="79"/>
      <c r="D109" s="79"/>
      <c r="E109" s="79"/>
    </row>
    <row r="110" spans="1:5" x14ac:dyDescent="0.3">
      <c r="A110" s="61" t="s">
        <v>39</v>
      </c>
    </row>
    <row r="111" spans="1:5" x14ac:dyDescent="0.3">
      <c r="A111" s="61" t="s">
        <v>40</v>
      </c>
    </row>
    <row r="112" spans="1:5" x14ac:dyDescent="0.3">
      <c r="A112" s="61" t="s">
        <v>41</v>
      </c>
    </row>
    <row r="113" spans="1:2" x14ac:dyDescent="0.3">
      <c r="B113" s="61" t="s">
        <v>42</v>
      </c>
    </row>
    <row r="114" spans="1:2" x14ac:dyDescent="0.3">
      <c r="B114" s="61" t="s">
        <v>43</v>
      </c>
    </row>
    <row r="115" spans="1:2" x14ac:dyDescent="0.3">
      <c r="B115" s="61" t="s">
        <v>44</v>
      </c>
    </row>
    <row r="116" spans="1:2" x14ac:dyDescent="0.3">
      <c r="B116" s="61" t="s">
        <v>45</v>
      </c>
    </row>
    <row r="117" spans="1:2" s="83" customFormat="1" x14ac:dyDescent="0.3">
      <c r="B117" s="83" t="s">
        <v>14</v>
      </c>
    </row>
    <row r="118" spans="1:2" s="83" customFormat="1" x14ac:dyDescent="0.3">
      <c r="B118" s="83" t="s">
        <v>46</v>
      </c>
    </row>
    <row r="119" spans="1:2" s="83" customFormat="1" x14ac:dyDescent="0.3">
      <c r="A119" s="83" t="s">
        <v>47</v>
      </c>
    </row>
    <row r="120" spans="1:2" s="83" customFormat="1" x14ac:dyDescent="0.3">
      <c r="B120" s="83" t="s">
        <v>48</v>
      </c>
    </row>
    <row r="121" spans="1:2" s="83" customFormat="1" x14ac:dyDescent="0.3">
      <c r="B121" s="83" t="s">
        <v>49</v>
      </c>
    </row>
    <row r="122" spans="1:2" s="83" customFormat="1" x14ac:dyDescent="0.3">
      <c r="B122" s="83" t="s">
        <v>50</v>
      </c>
    </row>
    <row r="123" spans="1:2" s="83" customFormat="1" x14ac:dyDescent="0.3">
      <c r="B123" s="83" t="s">
        <v>51</v>
      </c>
    </row>
    <row r="124" spans="1:2" s="83" customFormat="1" x14ac:dyDescent="0.3">
      <c r="B124" s="83" t="s">
        <v>52</v>
      </c>
    </row>
    <row r="125" spans="1:2" s="83" customFormat="1" x14ac:dyDescent="0.3">
      <c r="B125" s="83" t="s">
        <v>53</v>
      </c>
    </row>
    <row r="126" spans="1:2" s="83" customFormat="1" x14ac:dyDescent="0.3">
      <c r="B126" s="83" t="s">
        <v>54</v>
      </c>
    </row>
    <row r="127" spans="1:2" s="83" customFormat="1" x14ac:dyDescent="0.3">
      <c r="B127" s="83" t="s">
        <v>55</v>
      </c>
    </row>
    <row r="128" spans="1:2" s="83" customFormat="1" x14ac:dyDescent="0.3">
      <c r="B128" s="83" t="s">
        <v>56</v>
      </c>
    </row>
    <row r="129" spans="1:2" s="83" customFormat="1" x14ac:dyDescent="0.3">
      <c r="B129" s="83" t="s">
        <v>57</v>
      </c>
    </row>
    <row r="130" spans="1:2" s="83" customFormat="1" x14ac:dyDescent="0.3">
      <c r="B130" s="83" t="s">
        <v>58</v>
      </c>
    </row>
    <row r="131" spans="1:2" s="83" customFormat="1" x14ac:dyDescent="0.3">
      <c r="B131" s="83" t="s">
        <v>59</v>
      </c>
    </row>
    <row r="132" spans="1:2" s="83" customFormat="1" x14ac:dyDescent="0.3">
      <c r="B132" s="83" t="s">
        <v>60</v>
      </c>
    </row>
    <row r="133" spans="1:2" s="83" customFormat="1" x14ac:dyDescent="0.3">
      <c r="B133" s="83" t="s">
        <v>61</v>
      </c>
    </row>
    <row r="134" spans="1:2" s="83" customFormat="1" x14ac:dyDescent="0.3">
      <c r="B134" s="83" t="s">
        <v>62</v>
      </c>
    </row>
    <row r="135" spans="1:2" s="83" customFormat="1" x14ac:dyDescent="0.3">
      <c r="B135" s="83" t="s">
        <v>63</v>
      </c>
    </row>
    <row r="136" spans="1:2" s="83" customFormat="1" x14ac:dyDescent="0.3">
      <c r="A136" s="83" t="s">
        <v>64</v>
      </c>
    </row>
    <row r="137" spans="1:2" s="83" customFormat="1" x14ac:dyDescent="0.3">
      <c r="B137" s="83" t="s">
        <v>65</v>
      </c>
    </row>
    <row r="138" spans="1:2" s="83" customFormat="1" x14ac:dyDescent="0.3">
      <c r="B138" s="83" t="s">
        <v>66</v>
      </c>
    </row>
    <row r="139" spans="1:2" s="83" customFormat="1" x14ac:dyDescent="0.3">
      <c r="B139" s="83" t="s">
        <v>67</v>
      </c>
    </row>
    <row r="140" spans="1:2" s="83" customFormat="1" x14ac:dyDescent="0.3">
      <c r="B140" s="83" t="s">
        <v>68</v>
      </c>
    </row>
    <row r="141" spans="1:2" s="83" customFormat="1" x14ac:dyDescent="0.3">
      <c r="B141" s="83" t="s">
        <v>69</v>
      </c>
    </row>
    <row r="142" spans="1:2" s="83" customFormat="1" x14ac:dyDescent="0.3">
      <c r="A142" s="83" t="s">
        <v>70</v>
      </c>
    </row>
    <row r="143" spans="1:2" s="83" customFormat="1" x14ac:dyDescent="0.3">
      <c r="B143" s="83" t="s">
        <v>71</v>
      </c>
    </row>
    <row r="144" spans="1:2" s="83" customFormat="1" x14ac:dyDescent="0.3">
      <c r="B144" s="83" t="s">
        <v>72</v>
      </c>
    </row>
    <row r="145" spans="1:2" s="83" customFormat="1" x14ac:dyDescent="0.3">
      <c r="B145" s="83" t="s">
        <v>73</v>
      </c>
    </row>
    <row r="146" spans="1:2" s="83" customFormat="1" x14ac:dyDescent="0.3">
      <c r="B146" s="83" t="s">
        <v>74</v>
      </c>
    </row>
    <row r="147" spans="1:2" s="83" customFormat="1" x14ac:dyDescent="0.3">
      <c r="B147" s="83" t="s">
        <v>75</v>
      </c>
    </row>
    <row r="148" spans="1:2" s="83" customFormat="1" x14ac:dyDescent="0.3">
      <c r="B148" s="83" t="s">
        <v>76</v>
      </c>
    </row>
    <row r="149" spans="1:2" s="83" customFormat="1" x14ac:dyDescent="0.3">
      <c r="B149" s="83" t="s">
        <v>956</v>
      </c>
    </row>
    <row r="150" spans="1:2" s="83" customFormat="1" x14ac:dyDescent="0.3">
      <c r="B150" s="83" t="s">
        <v>77</v>
      </c>
    </row>
    <row r="151" spans="1:2" s="83" customFormat="1" x14ac:dyDescent="0.3">
      <c r="B151" s="83" t="s">
        <v>78</v>
      </c>
    </row>
    <row r="152" spans="1:2" s="83" customFormat="1" x14ac:dyDescent="0.3">
      <c r="B152" s="83" t="s">
        <v>79</v>
      </c>
    </row>
    <row r="153" spans="1:2" s="83" customFormat="1" x14ac:dyDescent="0.3">
      <c r="B153" s="83" t="s">
        <v>80</v>
      </c>
    </row>
    <row r="154" spans="1:2" s="83" customFormat="1" x14ac:dyDescent="0.3">
      <c r="B154" s="83" t="s">
        <v>957</v>
      </c>
    </row>
    <row r="155" spans="1:2" s="83" customFormat="1" x14ac:dyDescent="0.3">
      <c r="B155" s="83" t="s">
        <v>958</v>
      </c>
    </row>
    <row r="156" spans="1:2" s="83" customFormat="1" x14ac:dyDescent="0.3">
      <c r="B156" s="83" t="s">
        <v>959</v>
      </c>
    </row>
    <row r="157" spans="1:2" s="83" customFormat="1" x14ac:dyDescent="0.3">
      <c r="B157" s="83" t="s">
        <v>960</v>
      </c>
    </row>
    <row r="158" spans="1:2" s="83" customFormat="1" x14ac:dyDescent="0.3">
      <c r="B158" s="83" t="s">
        <v>961</v>
      </c>
    </row>
    <row r="159" spans="1:2" s="83" customFormat="1" x14ac:dyDescent="0.3">
      <c r="A159" s="83" t="s">
        <v>81</v>
      </c>
    </row>
    <row r="160" spans="1:2" s="83" customFormat="1" x14ac:dyDescent="0.3">
      <c r="B160" s="83" t="s">
        <v>82</v>
      </c>
    </row>
    <row r="161" spans="1:5" s="83" customFormat="1" x14ac:dyDescent="0.3">
      <c r="C161" s="83" t="s">
        <v>83</v>
      </c>
    </row>
    <row r="162" spans="1:5" s="83" customFormat="1" x14ac:dyDescent="0.3">
      <c r="C162" s="83" t="s">
        <v>84</v>
      </c>
    </row>
    <row r="163" spans="1:5" s="83" customFormat="1" x14ac:dyDescent="0.3">
      <c r="A163" s="83" t="s">
        <v>85</v>
      </c>
    </row>
    <row r="164" spans="1:5" s="83" customFormat="1" x14ac:dyDescent="0.3">
      <c r="B164" s="83" t="s">
        <v>86</v>
      </c>
    </row>
    <row r="165" spans="1:5" s="83" customFormat="1" x14ac:dyDescent="0.3">
      <c r="C165" s="83" t="s">
        <v>87</v>
      </c>
    </row>
    <row r="166" spans="1:5" s="83" customFormat="1" x14ac:dyDescent="0.3">
      <c r="C166" s="83" t="s">
        <v>88</v>
      </c>
    </row>
    <row r="167" spans="1:5" s="83" customFormat="1" x14ac:dyDescent="0.3">
      <c r="D167" s="83" t="s">
        <v>89</v>
      </c>
    </row>
    <row r="168" spans="1:5" s="83" customFormat="1" x14ac:dyDescent="0.3">
      <c r="D168" s="83" t="s">
        <v>90</v>
      </c>
    </row>
    <row r="169" spans="1:5" x14ac:dyDescent="0.3">
      <c r="B169" s="82" t="s">
        <v>91</v>
      </c>
    </row>
    <row r="170" spans="1:5" x14ac:dyDescent="0.3">
      <c r="B170" s="82" t="s">
        <v>92</v>
      </c>
    </row>
    <row r="171" spans="1:5" x14ac:dyDescent="0.3">
      <c r="B171" s="61" t="s">
        <v>93</v>
      </c>
    </row>
    <row r="172" spans="1:5" x14ac:dyDescent="0.3">
      <c r="B172" s="61" t="s">
        <v>94</v>
      </c>
    </row>
    <row r="173" spans="1:5" x14ac:dyDescent="0.3">
      <c r="B173" s="61" t="s">
        <v>95</v>
      </c>
    </row>
    <row r="174" spans="1:5" x14ac:dyDescent="0.3">
      <c r="B174" s="61" t="s">
        <v>96</v>
      </c>
    </row>
    <row r="175" spans="1:5" x14ac:dyDescent="0.3">
      <c r="A175" s="79" t="s">
        <v>962</v>
      </c>
      <c r="B175" s="79"/>
      <c r="C175" s="79"/>
      <c r="D175" s="79"/>
      <c r="E175" s="79"/>
    </row>
    <row r="177" spans="1:2" x14ac:dyDescent="0.3">
      <c r="A177" s="61" t="s">
        <v>963</v>
      </c>
    </row>
    <row r="178" spans="1:2" x14ac:dyDescent="0.3">
      <c r="A178" s="61" t="s">
        <v>40</v>
      </c>
    </row>
    <row r="179" spans="1:2" x14ac:dyDescent="0.3">
      <c r="A179" s="61" t="s">
        <v>41</v>
      </c>
    </row>
    <row r="180" spans="1:2" x14ac:dyDescent="0.3">
      <c r="B180" s="61" t="s">
        <v>964</v>
      </c>
    </row>
    <row r="181" spans="1:2" x14ac:dyDescent="0.3">
      <c r="B181" s="83" t="s">
        <v>43</v>
      </c>
    </row>
    <row r="182" spans="1:2" x14ac:dyDescent="0.3">
      <c r="B182" s="83" t="s">
        <v>44</v>
      </c>
    </row>
    <row r="183" spans="1:2" x14ac:dyDescent="0.3">
      <c r="B183" s="82" t="s">
        <v>45</v>
      </c>
    </row>
    <row r="184" spans="1:2" x14ac:dyDescent="0.3">
      <c r="B184" s="82" t="s">
        <v>14</v>
      </c>
    </row>
    <row r="185" spans="1:2" x14ac:dyDescent="0.3">
      <c r="A185" s="61" t="s">
        <v>871</v>
      </c>
      <c r="B185" s="83"/>
    </row>
    <row r="186" spans="1:2" x14ac:dyDescent="0.3">
      <c r="A186" s="61" t="s">
        <v>896</v>
      </c>
      <c r="B186" s="83"/>
    </row>
    <row r="187" spans="1:2" x14ac:dyDescent="0.3">
      <c r="A187" s="61" t="s">
        <v>70</v>
      </c>
      <c r="B187" s="83"/>
    </row>
    <row r="188" spans="1:2" x14ac:dyDescent="0.3">
      <c r="B188" s="83" t="s">
        <v>71</v>
      </c>
    </row>
    <row r="189" spans="1:2" x14ac:dyDescent="0.3">
      <c r="B189" s="83" t="s">
        <v>72</v>
      </c>
    </row>
    <row r="190" spans="1:2" x14ac:dyDescent="0.3">
      <c r="B190" s="83" t="s">
        <v>73</v>
      </c>
    </row>
    <row r="191" spans="1:2" x14ac:dyDescent="0.3">
      <c r="B191" s="91" t="s">
        <v>965</v>
      </c>
    </row>
    <row r="192" spans="1:2" x14ac:dyDescent="0.3">
      <c r="B192" s="83" t="s">
        <v>75</v>
      </c>
    </row>
    <row r="193" spans="1:5" x14ac:dyDescent="0.3">
      <c r="B193" s="83" t="s">
        <v>76</v>
      </c>
    </row>
    <row r="194" spans="1:5" x14ac:dyDescent="0.3">
      <c r="B194" s="83" t="s">
        <v>77</v>
      </c>
    </row>
    <row r="195" spans="1:5" x14ac:dyDescent="0.3">
      <c r="B195" s="61" t="s">
        <v>78</v>
      </c>
    </row>
    <row r="196" spans="1:5" x14ac:dyDescent="0.3">
      <c r="B196" s="61" t="s">
        <v>79</v>
      </c>
    </row>
    <row r="197" spans="1:5" x14ac:dyDescent="0.3">
      <c r="B197" s="91" t="s">
        <v>966</v>
      </c>
      <c r="C197" s="83"/>
      <c r="D197" s="83"/>
    </row>
    <row r="198" spans="1:5" x14ac:dyDescent="0.3">
      <c r="B198" s="91" t="s">
        <v>967</v>
      </c>
      <c r="C198" s="83"/>
      <c r="D198" s="83"/>
    </row>
    <row r="199" spans="1:5" x14ac:dyDescent="0.3">
      <c r="B199" s="83"/>
      <c r="C199" s="83"/>
      <c r="D199" s="83"/>
    </row>
    <row r="200" spans="1:5" x14ac:dyDescent="0.3">
      <c r="A200" s="79" t="s">
        <v>968</v>
      </c>
      <c r="B200" s="79"/>
      <c r="C200" s="79"/>
      <c r="D200" s="79"/>
      <c r="E200" s="79"/>
    </row>
    <row r="201" spans="1:5" x14ac:dyDescent="0.3">
      <c r="A201" s="61" t="s">
        <v>969</v>
      </c>
    </row>
    <row r="202" spans="1:5" x14ac:dyDescent="0.3">
      <c r="A202" s="61" t="s">
        <v>40</v>
      </c>
    </row>
    <row r="203" spans="1:5" x14ac:dyDescent="0.3">
      <c r="A203" s="61" t="s">
        <v>41</v>
      </c>
    </row>
    <row r="204" spans="1:5" x14ac:dyDescent="0.3">
      <c r="B204" s="61" t="s">
        <v>970</v>
      </c>
    </row>
    <row r="205" spans="1:5" x14ac:dyDescent="0.3">
      <c r="B205" s="61" t="s">
        <v>43</v>
      </c>
    </row>
    <row r="206" spans="1:5" x14ac:dyDescent="0.3">
      <c r="B206" s="61" t="s">
        <v>44</v>
      </c>
    </row>
    <row r="207" spans="1:5" x14ac:dyDescent="0.3">
      <c r="B207" s="61" t="s">
        <v>45</v>
      </c>
    </row>
    <row r="208" spans="1:5" s="83" customFormat="1" x14ac:dyDescent="0.3">
      <c r="B208" s="83" t="s">
        <v>14</v>
      </c>
    </row>
    <row r="209" spans="1:2" s="83" customFormat="1" x14ac:dyDescent="0.3">
      <c r="B209" s="83" t="s">
        <v>46</v>
      </c>
    </row>
    <row r="210" spans="1:2" s="83" customFormat="1" x14ac:dyDescent="0.3">
      <c r="A210" s="83" t="s">
        <v>47</v>
      </c>
    </row>
    <row r="211" spans="1:2" s="83" customFormat="1" x14ac:dyDescent="0.3">
      <c r="B211" s="83" t="s">
        <v>48</v>
      </c>
    </row>
    <row r="212" spans="1:2" s="83" customFormat="1" x14ac:dyDescent="0.3">
      <c r="B212" s="83" t="s">
        <v>49</v>
      </c>
    </row>
    <row r="213" spans="1:2" s="83" customFormat="1" x14ac:dyDescent="0.3">
      <c r="B213" s="83" t="s">
        <v>50</v>
      </c>
    </row>
    <row r="214" spans="1:2" s="83" customFormat="1" x14ac:dyDescent="0.3">
      <c r="B214" s="83" t="s">
        <v>51</v>
      </c>
    </row>
    <row r="215" spans="1:2" s="83" customFormat="1" x14ac:dyDescent="0.3">
      <c r="B215" s="83" t="s">
        <v>52</v>
      </c>
    </row>
    <row r="216" spans="1:2" s="83" customFormat="1" x14ac:dyDescent="0.3">
      <c r="B216" s="83" t="s">
        <v>53</v>
      </c>
    </row>
    <row r="217" spans="1:2" s="83" customFormat="1" x14ac:dyDescent="0.3">
      <c r="B217" s="83" t="s">
        <v>54</v>
      </c>
    </row>
    <row r="218" spans="1:2" s="83" customFormat="1" x14ac:dyDescent="0.3">
      <c r="B218" s="83" t="s">
        <v>55</v>
      </c>
    </row>
    <row r="219" spans="1:2" s="83" customFormat="1" x14ac:dyDescent="0.3">
      <c r="B219" s="83" t="s">
        <v>56</v>
      </c>
    </row>
    <row r="220" spans="1:2" s="83" customFormat="1" x14ac:dyDescent="0.3">
      <c r="B220" s="83" t="s">
        <v>57</v>
      </c>
    </row>
    <row r="221" spans="1:2" s="83" customFormat="1" x14ac:dyDescent="0.3">
      <c r="B221" s="83" t="s">
        <v>58</v>
      </c>
    </row>
    <row r="222" spans="1:2" s="83" customFormat="1" x14ac:dyDescent="0.3">
      <c r="B222" s="83" t="s">
        <v>59</v>
      </c>
    </row>
    <row r="223" spans="1:2" s="83" customFormat="1" x14ac:dyDescent="0.3">
      <c r="B223" s="83" t="s">
        <v>60</v>
      </c>
    </row>
    <row r="224" spans="1:2" s="83" customFormat="1" x14ac:dyDescent="0.3">
      <c r="B224" s="83" t="s">
        <v>61</v>
      </c>
    </row>
    <row r="225" spans="1:2" s="83" customFormat="1" x14ac:dyDescent="0.3">
      <c r="B225" s="83" t="s">
        <v>62</v>
      </c>
    </row>
    <row r="226" spans="1:2" s="83" customFormat="1" x14ac:dyDescent="0.3">
      <c r="B226" s="83" t="s">
        <v>63</v>
      </c>
    </row>
    <row r="227" spans="1:2" s="83" customFormat="1" x14ac:dyDescent="0.3">
      <c r="A227" s="83" t="s">
        <v>64</v>
      </c>
    </row>
    <row r="228" spans="1:2" s="83" customFormat="1" x14ac:dyDescent="0.3">
      <c r="B228" s="83" t="s">
        <v>65</v>
      </c>
    </row>
    <row r="229" spans="1:2" s="83" customFormat="1" x14ac:dyDescent="0.3">
      <c r="B229" s="83" t="s">
        <v>66</v>
      </c>
    </row>
    <row r="230" spans="1:2" s="83" customFormat="1" x14ac:dyDescent="0.3">
      <c r="B230" s="83" t="s">
        <v>67</v>
      </c>
    </row>
    <row r="231" spans="1:2" s="83" customFormat="1" x14ac:dyDescent="0.3">
      <c r="B231" s="83" t="s">
        <v>68</v>
      </c>
    </row>
    <row r="232" spans="1:2" s="83" customFormat="1" x14ac:dyDescent="0.3">
      <c r="B232" s="83" t="s">
        <v>69</v>
      </c>
    </row>
    <row r="233" spans="1:2" s="83" customFormat="1" x14ac:dyDescent="0.3">
      <c r="A233" s="83" t="s">
        <v>70</v>
      </c>
    </row>
    <row r="234" spans="1:2" s="83" customFormat="1" x14ac:dyDescent="0.3">
      <c r="B234" s="83" t="s">
        <v>71</v>
      </c>
    </row>
    <row r="235" spans="1:2" s="83" customFormat="1" x14ac:dyDescent="0.3">
      <c r="B235" s="83" t="s">
        <v>72</v>
      </c>
    </row>
    <row r="236" spans="1:2" s="83" customFormat="1" x14ac:dyDescent="0.3">
      <c r="B236" s="83" t="s">
        <v>73</v>
      </c>
    </row>
    <row r="237" spans="1:2" s="83" customFormat="1" x14ac:dyDescent="0.3">
      <c r="B237" s="83" t="s">
        <v>74</v>
      </c>
    </row>
    <row r="238" spans="1:2" s="83" customFormat="1" x14ac:dyDescent="0.3">
      <c r="B238" s="83" t="s">
        <v>75</v>
      </c>
    </row>
    <row r="239" spans="1:2" s="83" customFormat="1" x14ac:dyDescent="0.3">
      <c r="B239" s="83" t="s">
        <v>76</v>
      </c>
    </row>
    <row r="240" spans="1:2" s="83" customFormat="1" x14ac:dyDescent="0.3">
      <c r="B240" s="83" t="s">
        <v>956</v>
      </c>
    </row>
    <row r="241" spans="1:3" s="83" customFormat="1" x14ac:dyDescent="0.3">
      <c r="B241" s="83" t="s">
        <v>77</v>
      </c>
    </row>
    <row r="242" spans="1:3" s="83" customFormat="1" x14ac:dyDescent="0.3">
      <c r="B242" s="83" t="s">
        <v>78</v>
      </c>
    </row>
    <row r="243" spans="1:3" s="83" customFormat="1" x14ac:dyDescent="0.3">
      <c r="B243" s="83" t="s">
        <v>79</v>
      </c>
    </row>
    <row r="244" spans="1:3" s="83" customFormat="1" x14ac:dyDescent="0.3">
      <c r="B244" s="83" t="s">
        <v>80</v>
      </c>
    </row>
    <row r="245" spans="1:3" s="83" customFormat="1" x14ac:dyDescent="0.3">
      <c r="B245" s="83" t="s">
        <v>957</v>
      </c>
    </row>
    <row r="246" spans="1:3" s="83" customFormat="1" x14ac:dyDescent="0.3">
      <c r="B246" s="83" t="s">
        <v>958</v>
      </c>
    </row>
    <row r="247" spans="1:3" s="83" customFormat="1" x14ac:dyDescent="0.3">
      <c r="B247" s="83" t="s">
        <v>959</v>
      </c>
    </row>
    <row r="248" spans="1:3" s="83" customFormat="1" x14ac:dyDescent="0.3">
      <c r="B248" s="83" t="s">
        <v>960</v>
      </c>
    </row>
    <row r="249" spans="1:3" s="83" customFormat="1" x14ac:dyDescent="0.3">
      <c r="B249" s="83" t="s">
        <v>961</v>
      </c>
    </row>
    <row r="250" spans="1:3" s="83" customFormat="1" x14ac:dyDescent="0.3">
      <c r="A250" s="83" t="s">
        <v>81</v>
      </c>
    </row>
    <row r="251" spans="1:3" s="83" customFormat="1" x14ac:dyDescent="0.3">
      <c r="B251" s="83" t="s">
        <v>82</v>
      </c>
    </row>
    <row r="252" spans="1:3" s="83" customFormat="1" x14ac:dyDescent="0.3">
      <c r="C252" s="83" t="s">
        <v>83</v>
      </c>
    </row>
    <row r="253" spans="1:3" s="83" customFormat="1" x14ac:dyDescent="0.3">
      <c r="C253" s="83" t="s">
        <v>84</v>
      </c>
    </row>
    <row r="254" spans="1:3" s="83" customFormat="1" x14ac:dyDescent="0.3">
      <c r="A254" s="83" t="s">
        <v>85</v>
      </c>
    </row>
    <row r="255" spans="1:3" s="83" customFormat="1" x14ac:dyDescent="0.3">
      <c r="B255" s="83" t="s">
        <v>86</v>
      </c>
    </row>
    <row r="256" spans="1:3" s="83" customFormat="1" x14ac:dyDescent="0.3">
      <c r="C256" s="83" t="s">
        <v>87</v>
      </c>
    </row>
    <row r="257" spans="1:4" s="83" customFormat="1" x14ac:dyDescent="0.3">
      <c r="C257" s="83" t="s">
        <v>88</v>
      </c>
    </row>
    <row r="258" spans="1:4" s="83" customFormat="1" x14ac:dyDescent="0.3">
      <c r="D258" s="83" t="s">
        <v>89</v>
      </c>
    </row>
    <row r="259" spans="1:4" s="83" customFormat="1" x14ac:dyDescent="0.3">
      <c r="D259" s="83" t="s">
        <v>90</v>
      </c>
    </row>
    <row r="260" spans="1:4" x14ac:dyDescent="0.3">
      <c r="B260" s="82" t="s">
        <v>91</v>
      </c>
    </row>
    <row r="261" spans="1:4" x14ac:dyDescent="0.3">
      <c r="B261" s="82" t="s">
        <v>92</v>
      </c>
    </row>
    <row r="262" spans="1:4" x14ac:dyDescent="0.3">
      <c r="B262" s="61" t="s">
        <v>93</v>
      </c>
    </row>
    <row r="263" spans="1:4" x14ac:dyDescent="0.3">
      <c r="B263" s="61" t="s">
        <v>94</v>
      </c>
    </row>
    <row r="264" spans="1:4" x14ac:dyDescent="0.3">
      <c r="B264" s="61" t="s">
        <v>95</v>
      </c>
    </row>
    <row r="265" spans="1:4" x14ac:dyDescent="0.3">
      <c r="B265" s="61" t="s">
        <v>96</v>
      </c>
    </row>
    <row r="266" spans="1:4" x14ac:dyDescent="0.3">
      <c r="A266" s="61" t="s">
        <v>81</v>
      </c>
      <c r="B266" s="83"/>
      <c r="C266" s="83"/>
      <c r="D266" s="83"/>
    </row>
    <row r="267" spans="1:4" x14ac:dyDescent="0.3">
      <c r="B267" s="83" t="s">
        <v>971</v>
      </c>
      <c r="C267" s="83"/>
      <c r="D267" s="83"/>
    </row>
    <row r="268" spans="1:4" x14ac:dyDescent="0.3">
      <c r="B268" s="83"/>
      <c r="C268" s="83" t="s">
        <v>83</v>
      </c>
      <c r="D268" s="83"/>
    </row>
    <row r="270" spans="1:4" s="84" customFormat="1" x14ac:dyDescent="0.3">
      <c r="A270" s="84" t="s">
        <v>972</v>
      </c>
    </row>
    <row r="271" spans="1:4" x14ac:dyDescent="0.3">
      <c r="A271" s="85" t="s">
        <v>973</v>
      </c>
      <c r="B271" s="85"/>
      <c r="C271" s="85"/>
      <c r="D271" s="85"/>
    </row>
    <row r="273" spans="1:8" x14ac:dyDescent="0.3">
      <c r="A273" s="61" t="s">
        <v>974</v>
      </c>
    </row>
    <row r="274" spans="1:8" x14ac:dyDescent="0.3">
      <c r="A274" s="61" t="s">
        <v>975</v>
      </c>
    </row>
    <row r="275" spans="1:8" x14ac:dyDescent="0.3">
      <c r="A275" s="61" t="s">
        <v>976</v>
      </c>
    </row>
    <row r="276" spans="1:8" x14ac:dyDescent="0.3">
      <c r="A276" s="82" t="s">
        <v>977</v>
      </c>
    </row>
    <row r="277" spans="1:8" x14ac:dyDescent="0.3">
      <c r="A277" s="61" t="s">
        <v>978</v>
      </c>
    </row>
    <row r="278" spans="1:8" x14ac:dyDescent="0.3">
      <c r="A278" s="61" t="s">
        <v>979</v>
      </c>
    </row>
    <row r="279" spans="1:8" x14ac:dyDescent="0.3">
      <c r="A279" s="61" t="s">
        <v>980</v>
      </c>
    </row>
    <row r="280" spans="1:8" x14ac:dyDescent="0.3">
      <c r="A280" s="61" t="s">
        <v>981</v>
      </c>
      <c r="D280" s="82" t="s">
        <v>982</v>
      </c>
      <c r="E280" s="82"/>
      <c r="F280" s="82"/>
      <c r="G280" s="82"/>
      <c r="H280" s="82"/>
    </row>
    <row r="281" spans="1:8" x14ac:dyDescent="0.3">
      <c r="B281" s="61" t="s">
        <v>303</v>
      </c>
    </row>
    <row r="282" spans="1:8" x14ac:dyDescent="0.3">
      <c r="B282" s="61" t="s">
        <v>148</v>
      </c>
    </row>
    <row r="283" spans="1:8" x14ac:dyDescent="0.3">
      <c r="B283" s="61" t="s">
        <v>956</v>
      </c>
    </row>
    <row r="284" spans="1:8" x14ac:dyDescent="0.3">
      <c r="B284" s="61" t="s">
        <v>983</v>
      </c>
    </row>
    <row r="285" spans="1:8" x14ac:dyDescent="0.3">
      <c r="B285" s="61" t="s">
        <v>984</v>
      </c>
    </row>
    <row r="286" spans="1:8" x14ac:dyDescent="0.3">
      <c r="B286" s="61" t="s">
        <v>985</v>
      </c>
    </row>
    <row r="287" spans="1:8" x14ac:dyDescent="0.3">
      <c r="B287" s="61" t="s">
        <v>950</v>
      </c>
    </row>
    <row r="288" spans="1:8" x14ac:dyDescent="0.3">
      <c r="B288" s="61" t="s">
        <v>986</v>
      </c>
    </row>
    <row r="289" spans="1:4" x14ac:dyDescent="0.3">
      <c r="B289" s="61" t="s">
        <v>987</v>
      </c>
    </row>
    <row r="290" spans="1:4" x14ac:dyDescent="0.3">
      <c r="B290" s="61" t="s">
        <v>988</v>
      </c>
    </row>
    <row r="291" spans="1:4" x14ac:dyDescent="0.3">
      <c r="A291" s="61" t="s">
        <v>989</v>
      </c>
    </row>
    <row r="292" spans="1:4" x14ac:dyDescent="0.3">
      <c r="A292" s="82"/>
      <c r="B292" s="82"/>
    </row>
    <row r="293" spans="1:4" x14ac:dyDescent="0.3">
      <c r="A293" s="82" t="s">
        <v>990</v>
      </c>
    </row>
    <row r="294" spans="1:4" x14ac:dyDescent="0.3">
      <c r="A294" s="85" t="s">
        <v>991</v>
      </c>
      <c r="B294" s="85"/>
      <c r="C294" s="85"/>
      <c r="D294" s="85"/>
    </row>
    <row r="296" spans="1:4" x14ac:dyDescent="0.3">
      <c r="A296" s="61" t="s">
        <v>974</v>
      </c>
    </row>
    <row r="297" spans="1:4" x14ac:dyDescent="0.3">
      <c r="A297" s="61" t="s">
        <v>978</v>
      </c>
    </row>
    <row r="298" spans="1:4" x14ac:dyDescent="0.3">
      <c r="A298" s="61" t="s">
        <v>979</v>
      </c>
    </row>
    <row r="299" spans="1:4" x14ac:dyDescent="0.3">
      <c r="A299" s="61" t="s">
        <v>980</v>
      </c>
    </row>
    <row r="300" spans="1:4" x14ac:dyDescent="0.3">
      <c r="A300" s="61" t="s">
        <v>981</v>
      </c>
    </row>
    <row r="301" spans="1:4" x14ac:dyDescent="0.3">
      <c r="A301" s="61" t="s">
        <v>303</v>
      </c>
    </row>
    <row r="302" spans="1:4" x14ac:dyDescent="0.3">
      <c r="A302" s="61" t="s">
        <v>148</v>
      </c>
    </row>
    <row r="303" spans="1:4" x14ac:dyDescent="0.3">
      <c r="A303" s="61" t="s">
        <v>956</v>
      </c>
    </row>
    <row r="304" spans="1:4" x14ac:dyDescent="0.3">
      <c r="A304" s="61" t="s">
        <v>983</v>
      </c>
    </row>
    <row r="305" spans="1:4" x14ac:dyDescent="0.3">
      <c r="A305" s="61" t="s">
        <v>984</v>
      </c>
    </row>
    <row r="306" spans="1:4" x14ac:dyDescent="0.3">
      <c r="A306" s="61" t="s">
        <v>985</v>
      </c>
    </row>
    <row r="307" spans="1:4" x14ac:dyDescent="0.3">
      <c r="A307" s="61" t="s">
        <v>950</v>
      </c>
    </row>
    <row r="308" spans="1:4" x14ac:dyDescent="0.3">
      <c r="A308" s="61" t="s">
        <v>986</v>
      </c>
    </row>
    <row r="309" spans="1:4" x14ac:dyDescent="0.3">
      <c r="A309" s="61" t="s">
        <v>987</v>
      </c>
    </row>
    <row r="310" spans="1:4" x14ac:dyDescent="0.3">
      <c r="A310" s="61" t="s">
        <v>988</v>
      </c>
    </row>
    <row r="311" spans="1:4" x14ac:dyDescent="0.3">
      <c r="A311" s="61" t="s">
        <v>989</v>
      </c>
    </row>
    <row r="312" spans="1:4" x14ac:dyDescent="0.3">
      <c r="A312" s="82" t="s">
        <v>990</v>
      </c>
      <c r="B312" s="82"/>
      <c r="C312" s="82"/>
    </row>
    <row r="314" spans="1:4" x14ac:dyDescent="0.3">
      <c r="A314" s="85" t="s">
        <v>494</v>
      </c>
      <c r="B314" s="85"/>
      <c r="C314" s="85"/>
      <c r="D314" s="85"/>
    </row>
    <row r="316" spans="1:4" x14ac:dyDescent="0.3">
      <c r="A316" s="61" t="s">
        <v>981</v>
      </c>
    </row>
    <row r="317" spans="1:4" x14ac:dyDescent="0.3">
      <c r="A317" s="61" t="s">
        <v>978</v>
      </c>
    </row>
    <row r="318" spans="1:4" x14ac:dyDescent="0.3">
      <c r="A318" s="61" t="s">
        <v>979</v>
      </c>
    </row>
    <row r="319" spans="1:4" x14ac:dyDescent="0.3">
      <c r="A319" s="61" t="s">
        <v>980</v>
      </c>
    </row>
    <row r="320" spans="1:4" x14ac:dyDescent="0.3">
      <c r="A320" s="61" t="s">
        <v>303</v>
      </c>
    </row>
    <row r="321" spans="1:4" x14ac:dyDescent="0.3">
      <c r="A321" s="61" t="s">
        <v>148</v>
      </c>
    </row>
    <row r="322" spans="1:4" x14ac:dyDescent="0.3">
      <c r="A322" s="61" t="s">
        <v>956</v>
      </c>
    </row>
    <row r="323" spans="1:4" x14ac:dyDescent="0.3">
      <c r="A323" s="61" t="s">
        <v>983</v>
      </c>
    </row>
    <row r="324" spans="1:4" x14ac:dyDescent="0.3">
      <c r="A324" s="61" t="s">
        <v>984</v>
      </c>
    </row>
    <row r="325" spans="1:4" x14ac:dyDescent="0.3">
      <c r="A325" s="61" t="s">
        <v>985</v>
      </c>
    </row>
    <row r="326" spans="1:4" x14ac:dyDescent="0.3">
      <c r="A326" s="61" t="s">
        <v>950</v>
      </c>
    </row>
    <row r="327" spans="1:4" x14ac:dyDescent="0.3">
      <c r="A327" s="61" t="s">
        <v>986</v>
      </c>
    </row>
    <row r="328" spans="1:4" x14ac:dyDescent="0.3">
      <c r="A328" s="61" t="s">
        <v>987</v>
      </c>
    </row>
    <row r="329" spans="1:4" x14ac:dyDescent="0.3">
      <c r="A329" s="61" t="s">
        <v>988</v>
      </c>
    </row>
    <row r="330" spans="1:4" x14ac:dyDescent="0.3">
      <c r="A330" s="61" t="s">
        <v>989</v>
      </c>
    </row>
    <row r="334" spans="1:4" x14ac:dyDescent="0.3">
      <c r="A334" s="85" t="s">
        <v>992</v>
      </c>
      <c r="B334" s="85"/>
      <c r="C334" s="85"/>
      <c r="D334" s="85"/>
    </row>
    <row r="336" spans="1:4" x14ac:dyDescent="0.3">
      <c r="A336" s="61" t="s">
        <v>993</v>
      </c>
    </row>
    <row r="337" spans="1:4" x14ac:dyDescent="0.3">
      <c r="A337" s="61" t="s">
        <v>994</v>
      </c>
    </row>
    <row r="338" spans="1:4" x14ac:dyDescent="0.3">
      <c r="A338" s="61" t="s">
        <v>995</v>
      </c>
    </row>
    <row r="339" spans="1:4" x14ac:dyDescent="0.3">
      <c r="A339" s="61" t="s">
        <v>996</v>
      </c>
    </row>
    <row r="342" spans="1:4" x14ac:dyDescent="0.3">
      <c r="A342" s="85" t="s">
        <v>412</v>
      </c>
      <c r="B342" s="85"/>
      <c r="C342" s="85"/>
      <c r="D342" s="85"/>
    </row>
    <row r="344" spans="1:4" x14ac:dyDescent="0.3">
      <c r="A344" s="61" t="s">
        <v>974</v>
      </c>
    </row>
    <row r="345" spans="1:4" x14ac:dyDescent="0.3">
      <c r="A345" s="61" t="s">
        <v>997</v>
      </c>
    </row>
    <row r="346" spans="1:4" x14ac:dyDescent="0.3">
      <c r="A346" s="61" t="s">
        <v>998</v>
      </c>
    </row>
    <row r="347" spans="1:4" x14ac:dyDescent="0.3">
      <c r="A347" s="61" t="s">
        <v>979</v>
      </c>
    </row>
    <row r="348" spans="1:4" x14ac:dyDescent="0.3">
      <c r="A348" s="61" t="s">
        <v>980</v>
      </c>
    </row>
    <row r="349" spans="1:4" x14ac:dyDescent="0.3">
      <c r="A349" s="61" t="s">
        <v>981</v>
      </c>
    </row>
    <row r="350" spans="1:4" x14ac:dyDescent="0.3">
      <c r="A350" s="61" t="s">
        <v>303</v>
      </c>
    </row>
    <row r="351" spans="1:4" x14ac:dyDescent="0.3">
      <c r="A351" s="61" t="s">
        <v>148</v>
      </c>
    </row>
    <row r="352" spans="1:4" x14ac:dyDescent="0.3">
      <c r="A352" s="61" t="s">
        <v>956</v>
      </c>
    </row>
    <row r="353" spans="1:4" x14ac:dyDescent="0.3">
      <c r="A353" s="61" t="s">
        <v>983</v>
      </c>
    </row>
    <row r="354" spans="1:4" x14ac:dyDescent="0.3">
      <c r="A354" s="61" t="s">
        <v>984</v>
      </c>
    </row>
    <row r="355" spans="1:4" x14ac:dyDescent="0.3">
      <c r="A355" s="61" t="s">
        <v>985</v>
      </c>
    </row>
    <row r="356" spans="1:4" x14ac:dyDescent="0.3">
      <c r="A356" s="61" t="s">
        <v>950</v>
      </c>
    </row>
    <row r="357" spans="1:4" x14ac:dyDescent="0.3">
      <c r="A357" s="61" t="s">
        <v>986</v>
      </c>
    </row>
    <row r="358" spans="1:4" x14ac:dyDescent="0.3">
      <c r="A358" s="61" t="s">
        <v>987</v>
      </c>
    </row>
    <row r="359" spans="1:4" x14ac:dyDescent="0.3">
      <c r="A359" s="61" t="s">
        <v>988</v>
      </c>
    </row>
    <row r="360" spans="1:4" x14ac:dyDescent="0.3">
      <c r="A360" s="61" t="s">
        <v>989</v>
      </c>
    </row>
    <row r="363" spans="1:4" x14ac:dyDescent="0.3">
      <c r="A363" s="85" t="s">
        <v>431</v>
      </c>
      <c r="B363" s="85"/>
      <c r="C363" s="85"/>
      <c r="D363" s="85"/>
    </row>
    <row r="365" spans="1:4" x14ac:dyDescent="0.3">
      <c r="A365" s="61" t="s">
        <v>974</v>
      </c>
    </row>
    <row r="366" spans="1:4" x14ac:dyDescent="0.3">
      <c r="A366" s="61" t="s">
        <v>999</v>
      </c>
    </row>
    <row r="367" spans="1:4" x14ac:dyDescent="0.3">
      <c r="A367" s="61" t="s">
        <v>998</v>
      </c>
    </row>
    <row r="368" spans="1:4" x14ac:dyDescent="0.3">
      <c r="A368" s="61" t="s">
        <v>979</v>
      </c>
    </row>
    <row r="369" spans="1:4" x14ac:dyDescent="0.3">
      <c r="A369" s="61" t="s">
        <v>980</v>
      </c>
    </row>
    <row r="370" spans="1:4" x14ac:dyDescent="0.3">
      <c r="A370" s="61" t="s">
        <v>981</v>
      </c>
    </row>
    <row r="371" spans="1:4" x14ac:dyDescent="0.3">
      <c r="A371" s="61" t="s">
        <v>303</v>
      </c>
    </row>
    <row r="372" spans="1:4" x14ac:dyDescent="0.3">
      <c r="A372" s="61" t="s">
        <v>148</v>
      </c>
    </row>
    <row r="373" spans="1:4" x14ac:dyDescent="0.3">
      <c r="A373" s="61" t="s">
        <v>956</v>
      </c>
    </row>
    <row r="374" spans="1:4" x14ac:dyDescent="0.3">
      <c r="A374" s="61" t="s">
        <v>983</v>
      </c>
    </row>
    <row r="375" spans="1:4" x14ac:dyDescent="0.3">
      <c r="A375" s="61" t="s">
        <v>984</v>
      </c>
    </row>
    <row r="376" spans="1:4" x14ac:dyDescent="0.3">
      <c r="A376" s="61" t="s">
        <v>985</v>
      </c>
    </row>
    <row r="377" spans="1:4" x14ac:dyDescent="0.3">
      <c r="A377" s="61" t="s">
        <v>950</v>
      </c>
    </row>
    <row r="378" spans="1:4" x14ac:dyDescent="0.3">
      <c r="A378" s="61" t="s">
        <v>986</v>
      </c>
    </row>
    <row r="379" spans="1:4" x14ac:dyDescent="0.3">
      <c r="A379" s="61" t="s">
        <v>987</v>
      </c>
    </row>
    <row r="380" spans="1:4" x14ac:dyDescent="0.3">
      <c r="A380" s="61" t="s">
        <v>988</v>
      </c>
    </row>
    <row r="381" spans="1:4" x14ac:dyDescent="0.3">
      <c r="A381" s="61" t="s">
        <v>989</v>
      </c>
    </row>
    <row r="383" spans="1:4" x14ac:dyDescent="0.3">
      <c r="A383" s="85" t="s">
        <v>583</v>
      </c>
      <c r="B383" s="85"/>
      <c r="C383" s="85"/>
      <c r="D383" s="85"/>
    </row>
    <row r="385" spans="1:4" x14ac:dyDescent="0.3">
      <c r="A385" s="61" t="s">
        <v>974</v>
      </c>
    </row>
    <row r="386" spans="1:4" x14ac:dyDescent="0.3">
      <c r="A386" s="61" t="s">
        <v>981</v>
      </c>
    </row>
    <row r="387" spans="1:4" x14ac:dyDescent="0.3">
      <c r="A387" s="61" t="s">
        <v>985</v>
      </c>
    </row>
    <row r="388" spans="1:4" x14ac:dyDescent="0.3">
      <c r="A388" s="61" t="s">
        <v>950</v>
      </c>
    </row>
    <row r="389" spans="1:4" x14ac:dyDescent="0.3">
      <c r="A389" s="61" t="s">
        <v>986</v>
      </c>
    </row>
    <row r="390" spans="1:4" x14ac:dyDescent="0.3">
      <c r="A390" s="61" t="s">
        <v>1000</v>
      </c>
    </row>
    <row r="392" spans="1:4" x14ac:dyDescent="0.3">
      <c r="A392" s="85" t="s">
        <v>1001</v>
      </c>
      <c r="B392" s="85"/>
      <c r="C392" s="85"/>
      <c r="D392" s="85"/>
    </row>
    <row r="394" spans="1:4" x14ac:dyDescent="0.3">
      <c r="A394" s="61" t="s">
        <v>974</v>
      </c>
    </row>
    <row r="395" spans="1:4" x14ac:dyDescent="0.3">
      <c r="A395" s="61" t="s">
        <v>1002</v>
      </c>
    </row>
    <row r="396" spans="1:4" x14ac:dyDescent="0.3">
      <c r="A396" s="61" t="s">
        <v>981</v>
      </c>
    </row>
    <row r="397" spans="1:4" x14ac:dyDescent="0.3">
      <c r="A397" s="61" t="s">
        <v>303</v>
      </c>
    </row>
    <row r="398" spans="1:4" x14ac:dyDescent="0.3">
      <c r="A398" s="61" t="s">
        <v>148</v>
      </c>
    </row>
    <row r="399" spans="1:4" x14ac:dyDescent="0.3">
      <c r="A399" s="61" t="s">
        <v>956</v>
      </c>
    </row>
    <row r="400" spans="1:4" x14ac:dyDescent="0.3">
      <c r="A400" s="61" t="s">
        <v>983</v>
      </c>
    </row>
    <row r="401" spans="1:4" x14ac:dyDescent="0.3">
      <c r="A401" s="61" t="s">
        <v>984</v>
      </c>
    </row>
    <row r="402" spans="1:4" x14ac:dyDescent="0.3">
      <c r="A402" s="61" t="s">
        <v>985</v>
      </c>
    </row>
    <row r="403" spans="1:4" x14ac:dyDescent="0.3">
      <c r="A403" s="61" t="s">
        <v>950</v>
      </c>
    </row>
    <row r="404" spans="1:4" x14ac:dyDescent="0.3">
      <c r="A404" s="61" t="s">
        <v>986</v>
      </c>
    </row>
    <row r="405" spans="1:4" x14ac:dyDescent="0.3">
      <c r="A405" s="61" t="s">
        <v>987</v>
      </c>
    </row>
    <row r="406" spans="1:4" x14ac:dyDescent="0.3">
      <c r="A406" s="61" t="s">
        <v>1003</v>
      </c>
    </row>
    <row r="407" spans="1:4" x14ac:dyDescent="0.3">
      <c r="A407" s="61" t="s">
        <v>1004</v>
      </c>
    </row>
    <row r="409" spans="1:4" x14ac:dyDescent="0.3">
      <c r="A409" s="85" t="s">
        <v>1005</v>
      </c>
      <c r="B409" s="85"/>
      <c r="C409" s="85"/>
      <c r="D409" s="85"/>
    </row>
    <row r="410" spans="1:4" x14ac:dyDescent="0.3">
      <c r="A410" s="61" t="s">
        <v>974</v>
      </c>
    </row>
    <row r="411" spans="1:4" x14ac:dyDescent="0.3">
      <c r="A411" s="61" t="s">
        <v>981</v>
      </c>
    </row>
    <row r="412" spans="1:4" x14ac:dyDescent="0.3">
      <c r="A412" s="61" t="s">
        <v>148</v>
      </c>
    </row>
    <row r="413" spans="1:4" x14ac:dyDescent="0.3">
      <c r="A413" s="61" t="s">
        <v>956</v>
      </c>
    </row>
    <row r="414" spans="1:4" x14ac:dyDescent="0.3">
      <c r="A414" s="61" t="s">
        <v>983</v>
      </c>
    </row>
    <row r="415" spans="1:4" x14ac:dyDescent="0.3">
      <c r="A415" s="61" t="s">
        <v>984</v>
      </c>
    </row>
    <row r="416" spans="1:4" x14ac:dyDescent="0.3">
      <c r="A416" s="61" t="s">
        <v>985</v>
      </c>
    </row>
    <row r="417" spans="1:1" x14ac:dyDescent="0.3">
      <c r="A417" s="61" t="s">
        <v>950</v>
      </c>
    </row>
    <row r="418" spans="1:1" x14ac:dyDescent="0.3">
      <c r="A418" s="61" t="s">
        <v>986</v>
      </c>
    </row>
    <row r="419" spans="1:1" x14ac:dyDescent="0.3">
      <c r="A419" s="61" t="s">
        <v>1006</v>
      </c>
    </row>
    <row r="420" spans="1:1" x14ac:dyDescent="0.3">
      <c r="A420" s="61" t="s">
        <v>1007</v>
      </c>
    </row>
    <row r="422" spans="1:1" x14ac:dyDescent="0.3">
      <c r="A422" s="84" t="s">
        <v>678</v>
      </c>
    </row>
    <row r="424" spans="1:1" x14ac:dyDescent="0.3">
      <c r="A424" s="101" t="s">
        <v>1008</v>
      </c>
    </row>
    <row r="426" spans="1:1" x14ac:dyDescent="0.3">
      <c r="A426" s="61" t="s">
        <v>1009</v>
      </c>
    </row>
    <row r="427" spans="1:1" x14ac:dyDescent="0.3">
      <c r="A427" s="61" t="s">
        <v>93</v>
      </c>
    </row>
    <row r="428" spans="1:1" x14ac:dyDescent="0.3">
      <c r="A428" s="61" t="s">
        <v>1010</v>
      </c>
    </row>
    <row r="429" spans="1:1" x14ac:dyDescent="0.3">
      <c r="A429" s="61" t="s">
        <v>1011</v>
      </c>
    </row>
    <row r="430" spans="1:1" x14ac:dyDescent="0.3">
      <c r="A430" s="61" t="s">
        <v>1012</v>
      </c>
    </row>
    <row r="431" spans="1:1" x14ac:dyDescent="0.3">
      <c r="A431" s="61" t="s">
        <v>1013</v>
      </c>
    </row>
    <row r="432" spans="1:1" x14ac:dyDescent="0.3">
      <c r="A432" s="61" t="s">
        <v>1014</v>
      </c>
    </row>
    <row r="433" spans="1:1" x14ac:dyDescent="0.3">
      <c r="A433" s="61" t="s">
        <v>1015</v>
      </c>
    </row>
    <row r="434" spans="1:1" x14ac:dyDescent="0.3">
      <c r="A434" s="61" t="s">
        <v>1016</v>
      </c>
    </row>
    <row r="435" spans="1:1" x14ac:dyDescent="0.3">
      <c r="A435" s="61" t="s">
        <v>1017</v>
      </c>
    </row>
    <row r="436" spans="1:1" x14ac:dyDescent="0.3">
      <c r="A436" s="61" t="s">
        <v>1018</v>
      </c>
    </row>
    <row r="437" spans="1:1" x14ac:dyDescent="0.3">
      <c r="A437" s="61" t="s">
        <v>1019</v>
      </c>
    </row>
    <row r="438" spans="1:1" x14ac:dyDescent="0.3">
      <c r="A438" s="61" t="s">
        <v>1020</v>
      </c>
    </row>
    <row r="439" spans="1:1" x14ac:dyDescent="0.3">
      <c r="A439" s="61" t="s">
        <v>1021</v>
      </c>
    </row>
    <row r="440" spans="1:1" x14ac:dyDescent="0.3">
      <c r="A440" s="61" t="s">
        <v>1022</v>
      </c>
    </row>
    <row r="441" spans="1:1" x14ac:dyDescent="0.3">
      <c r="A441" s="61" t="s">
        <v>93</v>
      </c>
    </row>
    <row r="442" spans="1:1" x14ac:dyDescent="0.3">
      <c r="A442" s="61" t="s">
        <v>1023</v>
      </c>
    </row>
    <row r="443" spans="1:1" x14ac:dyDescent="0.3">
      <c r="A443" s="61" t="s">
        <v>1024</v>
      </c>
    </row>
    <row r="444" spans="1:1" x14ac:dyDescent="0.3">
      <c r="A444" s="61" t="s">
        <v>1025</v>
      </c>
    </row>
    <row r="445" spans="1:1" x14ac:dyDescent="0.3">
      <c r="A445" s="61" t="s">
        <v>1026</v>
      </c>
    </row>
    <row r="446" spans="1:1" x14ac:dyDescent="0.3">
      <c r="A446" s="61" t="s">
        <v>1027</v>
      </c>
    </row>
    <row r="447" spans="1:1" x14ac:dyDescent="0.3">
      <c r="A447" s="61" t="s">
        <v>1028</v>
      </c>
    </row>
    <row r="448" spans="1:1" x14ac:dyDescent="0.3">
      <c r="A448" s="61" t="s">
        <v>1029</v>
      </c>
    </row>
    <row r="449" spans="1:1" x14ac:dyDescent="0.3">
      <c r="A449" s="61" t="s">
        <v>1030</v>
      </c>
    </row>
    <row r="450" spans="1:1" x14ac:dyDescent="0.3">
      <c r="A450" s="61" t="s">
        <v>1031</v>
      </c>
    </row>
    <row r="451" spans="1:1" x14ac:dyDescent="0.3">
      <c r="A451" s="61" t="s">
        <v>1032</v>
      </c>
    </row>
    <row r="452" spans="1:1" x14ac:dyDescent="0.3">
      <c r="A452" s="61" t="s">
        <v>1033</v>
      </c>
    </row>
    <row r="453" spans="1:1" x14ac:dyDescent="0.3">
      <c r="A453" s="61" t="s">
        <v>1034</v>
      </c>
    </row>
    <row r="455" spans="1:1" x14ac:dyDescent="0.3">
      <c r="A455" s="61" t="s">
        <v>1035</v>
      </c>
    </row>
    <row r="457" spans="1:1" x14ac:dyDescent="0.3">
      <c r="A457" s="101" t="s">
        <v>1036</v>
      </c>
    </row>
    <row r="460" spans="1:1" x14ac:dyDescent="0.3">
      <c r="A460" s="61" t="s">
        <v>1009</v>
      </c>
    </row>
    <row r="461" spans="1:1" x14ac:dyDescent="0.3">
      <c r="A461" s="61" t="s">
        <v>93</v>
      </c>
    </row>
    <row r="462" spans="1:1" x14ac:dyDescent="0.3">
      <c r="A462" s="61" t="s">
        <v>1010</v>
      </c>
    </row>
    <row r="463" spans="1:1" x14ac:dyDescent="0.3">
      <c r="A463" s="61" t="s">
        <v>1011</v>
      </c>
    </row>
    <row r="464" spans="1:1" x14ac:dyDescent="0.3">
      <c r="A464" s="61" t="s">
        <v>1012</v>
      </c>
    </row>
    <row r="465" spans="1:13" x14ac:dyDescent="0.3">
      <c r="A465" s="61" t="s">
        <v>1013</v>
      </c>
    </row>
    <row r="466" spans="1:13" x14ac:dyDescent="0.3">
      <c r="A466" s="61" t="s">
        <v>1014</v>
      </c>
    </row>
    <row r="467" spans="1:13" x14ac:dyDescent="0.3">
      <c r="A467" s="61" t="s">
        <v>1015</v>
      </c>
    </row>
    <row r="468" spans="1:13" x14ac:dyDescent="0.3">
      <c r="A468" s="61" t="s">
        <v>1016</v>
      </c>
    </row>
    <row r="469" spans="1:13" x14ac:dyDescent="0.3">
      <c r="A469" s="61" t="s">
        <v>1017</v>
      </c>
    </row>
    <row r="470" spans="1:13" x14ac:dyDescent="0.3">
      <c r="A470" s="61" t="s">
        <v>1018</v>
      </c>
    </row>
    <row r="471" spans="1:13" x14ac:dyDescent="0.3">
      <c r="A471" s="61" t="s">
        <v>1019</v>
      </c>
    </row>
    <row r="472" spans="1:13" x14ac:dyDescent="0.3">
      <c r="A472" s="61" t="s">
        <v>1020</v>
      </c>
    </row>
    <row r="473" spans="1:13" x14ac:dyDescent="0.3">
      <c r="A473" s="61" t="s">
        <v>1021</v>
      </c>
    </row>
    <row r="474" spans="1:13" x14ac:dyDescent="0.3">
      <c r="A474" s="61" t="s">
        <v>1022</v>
      </c>
    </row>
    <row r="475" spans="1:13" x14ac:dyDescent="0.3">
      <c r="A475" s="61" t="s">
        <v>93</v>
      </c>
    </row>
    <row r="476" spans="1:13" x14ac:dyDescent="0.3">
      <c r="A476" s="61" t="s">
        <v>1023</v>
      </c>
    </row>
    <row r="477" spans="1:13" x14ac:dyDescent="0.3">
      <c r="A477" s="61" t="s">
        <v>1024</v>
      </c>
    </row>
    <row r="480" spans="1:13" x14ac:dyDescent="0.3">
      <c r="A480" s="92" t="s">
        <v>1037</v>
      </c>
      <c r="B480" s="92"/>
      <c r="C480" s="93"/>
      <c r="D480" s="93"/>
      <c r="E480" s="93"/>
      <c r="F480" s="93"/>
      <c r="G480" s="93"/>
      <c r="H480" s="93"/>
      <c r="I480" s="93"/>
      <c r="J480" s="93"/>
      <c r="K480" s="93"/>
      <c r="L480" s="93"/>
      <c r="M480" s="93"/>
    </row>
    <row r="481" spans="1:13" x14ac:dyDescent="0.3">
      <c r="A481" s="93"/>
      <c r="B481" s="93" t="s">
        <v>1038</v>
      </c>
      <c r="C481" s="93"/>
      <c r="D481" s="93"/>
      <c r="E481" s="93"/>
      <c r="F481" s="93"/>
      <c r="G481" s="93"/>
      <c r="H481" s="93"/>
      <c r="I481" s="93"/>
      <c r="J481" s="93"/>
      <c r="K481" s="93"/>
      <c r="L481" s="93"/>
      <c r="M481" s="93"/>
    </row>
    <row r="482" spans="1:13" x14ac:dyDescent="0.3">
      <c r="A482" s="93"/>
      <c r="B482" s="93"/>
      <c r="C482" s="93" t="s">
        <v>1039</v>
      </c>
      <c r="D482" s="93"/>
      <c r="E482" s="93"/>
      <c r="F482" s="93"/>
      <c r="G482" s="93"/>
      <c r="H482" s="93"/>
      <c r="I482" s="93"/>
      <c r="J482" s="93"/>
      <c r="K482" s="93"/>
      <c r="L482" s="93"/>
      <c r="M482" s="93"/>
    </row>
    <row r="483" spans="1:13" x14ac:dyDescent="0.3">
      <c r="A483" s="93"/>
      <c r="B483" s="93"/>
      <c r="C483" s="93"/>
      <c r="D483" s="93" t="s">
        <v>1040</v>
      </c>
      <c r="E483" s="93"/>
      <c r="F483" s="93"/>
      <c r="G483" s="93"/>
      <c r="H483" s="93"/>
      <c r="I483" s="93"/>
      <c r="J483" s="93"/>
      <c r="K483" s="93"/>
      <c r="L483" s="93"/>
      <c r="M483" s="93"/>
    </row>
    <row r="484" spans="1:13" x14ac:dyDescent="0.3">
      <c r="A484" s="93"/>
      <c r="B484" s="93"/>
      <c r="C484" s="93"/>
      <c r="D484" s="93" t="s">
        <v>1041</v>
      </c>
      <c r="E484" s="93"/>
      <c r="F484" s="93"/>
      <c r="G484" s="93"/>
      <c r="H484" s="93"/>
      <c r="I484" s="93"/>
      <c r="J484" s="93"/>
      <c r="K484" s="93"/>
      <c r="L484" s="93"/>
      <c r="M484" s="93"/>
    </row>
    <row r="485" spans="1:13" x14ac:dyDescent="0.3">
      <c r="A485" s="93"/>
      <c r="B485" s="93"/>
      <c r="C485" s="93"/>
      <c r="D485" s="93" t="s">
        <v>1042</v>
      </c>
      <c r="E485" s="93"/>
      <c r="F485" s="93"/>
      <c r="G485" s="93"/>
      <c r="H485" s="93"/>
      <c r="I485" s="93"/>
      <c r="J485" s="93"/>
      <c r="K485" s="93"/>
      <c r="L485" s="93"/>
      <c r="M485" s="93"/>
    </row>
    <row r="486" spans="1:13" x14ac:dyDescent="0.3">
      <c r="A486" s="93"/>
      <c r="B486" s="93" t="s">
        <v>1043</v>
      </c>
      <c r="C486" s="93"/>
      <c r="D486" s="93"/>
      <c r="E486" s="93"/>
      <c r="F486" s="93"/>
      <c r="G486" s="93"/>
      <c r="H486" s="93"/>
      <c r="I486" s="93"/>
      <c r="J486" s="93"/>
      <c r="K486" s="93"/>
      <c r="L486" s="93"/>
      <c r="M486" s="93"/>
    </row>
    <row r="487" spans="1:13" x14ac:dyDescent="0.3">
      <c r="A487" s="93"/>
      <c r="B487" s="93"/>
      <c r="C487" s="93" t="s">
        <v>1044</v>
      </c>
      <c r="D487" s="93"/>
      <c r="E487" s="93"/>
      <c r="F487" s="93"/>
      <c r="G487" s="93"/>
      <c r="H487" s="93"/>
      <c r="I487" s="93"/>
      <c r="J487" s="93"/>
      <c r="K487" s="93"/>
      <c r="L487" s="93"/>
      <c r="M487" s="93"/>
    </row>
    <row r="488" spans="1:13" x14ac:dyDescent="0.3">
      <c r="A488" s="93"/>
      <c r="B488" s="93"/>
      <c r="C488" s="93"/>
      <c r="D488" s="93" t="s">
        <v>1045</v>
      </c>
      <c r="E488" s="93"/>
      <c r="F488" s="93"/>
      <c r="G488" s="93"/>
      <c r="H488" s="93"/>
      <c r="I488" s="93"/>
      <c r="J488" s="93"/>
      <c r="K488" s="93"/>
      <c r="L488" s="93"/>
      <c r="M488" s="93"/>
    </row>
    <row r="489" spans="1:13" x14ac:dyDescent="0.3">
      <c r="A489" s="93"/>
      <c r="B489" s="93"/>
      <c r="C489" s="93"/>
      <c r="D489" s="93"/>
      <c r="E489" s="93" t="s">
        <v>1046</v>
      </c>
      <c r="F489" s="93"/>
      <c r="G489" s="93"/>
      <c r="H489" s="93"/>
      <c r="I489" s="93"/>
      <c r="J489" s="93"/>
      <c r="K489" s="93"/>
      <c r="L489" s="93"/>
      <c r="M489" s="93"/>
    </row>
    <row r="490" spans="1:13" x14ac:dyDescent="0.3">
      <c r="A490" s="93"/>
      <c r="B490" s="93"/>
      <c r="C490" s="93"/>
      <c r="D490" s="93"/>
      <c r="E490" s="93" t="s">
        <v>1047</v>
      </c>
      <c r="F490" s="93"/>
      <c r="G490" s="93"/>
      <c r="H490" s="93"/>
      <c r="I490" s="93"/>
      <c r="J490" s="93"/>
      <c r="K490" s="93"/>
      <c r="L490" s="93"/>
      <c r="M490" s="93"/>
    </row>
    <row r="491" spans="1:13" x14ac:dyDescent="0.3">
      <c r="A491" s="93"/>
      <c r="B491" s="93"/>
      <c r="C491" s="93" t="s">
        <v>1048</v>
      </c>
      <c r="D491" s="93"/>
      <c r="E491" s="93"/>
      <c r="F491" s="93"/>
      <c r="G491" s="93"/>
      <c r="H491" s="93"/>
      <c r="I491" s="93"/>
      <c r="J491" s="93"/>
      <c r="K491" s="93"/>
      <c r="L491" s="93"/>
      <c r="M491" s="93"/>
    </row>
    <row r="492" spans="1:13" x14ac:dyDescent="0.3">
      <c r="A492" s="93"/>
      <c r="B492" s="93"/>
      <c r="C492" s="93"/>
      <c r="D492" s="93" t="s">
        <v>1049</v>
      </c>
      <c r="E492" s="93"/>
      <c r="F492" s="93"/>
      <c r="G492" s="93"/>
      <c r="H492" s="93"/>
      <c r="I492" s="93"/>
      <c r="J492" s="93"/>
      <c r="K492" s="93"/>
      <c r="L492" s="93"/>
      <c r="M492" s="93"/>
    </row>
    <row r="493" spans="1:13" x14ac:dyDescent="0.3">
      <c r="A493" s="93"/>
      <c r="B493" s="93"/>
      <c r="C493" s="93" t="s">
        <v>1050</v>
      </c>
      <c r="D493" s="93"/>
      <c r="E493" s="93"/>
      <c r="F493" s="93"/>
      <c r="G493" s="93"/>
      <c r="H493" s="93"/>
      <c r="I493" s="93"/>
      <c r="J493" s="93"/>
      <c r="K493" s="93"/>
      <c r="L493" s="93"/>
      <c r="M493" s="93"/>
    </row>
    <row r="494" spans="1:13" x14ac:dyDescent="0.3">
      <c r="A494" s="93"/>
      <c r="B494" s="93"/>
      <c r="C494" s="93"/>
      <c r="D494" s="93" t="s">
        <v>1051</v>
      </c>
      <c r="E494" s="93"/>
      <c r="F494" s="93"/>
      <c r="G494" s="93"/>
      <c r="H494" s="93"/>
      <c r="I494" s="93"/>
      <c r="J494" s="93"/>
      <c r="K494" s="93"/>
      <c r="L494" s="93"/>
      <c r="M494" s="93"/>
    </row>
    <row r="495" spans="1:13" x14ac:dyDescent="0.3">
      <c r="A495" s="93"/>
      <c r="B495" s="93"/>
      <c r="C495" s="93"/>
      <c r="D495" s="93"/>
      <c r="E495" s="93" t="s">
        <v>1052</v>
      </c>
      <c r="F495" s="93"/>
      <c r="G495" s="93"/>
      <c r="H495" s="93"/>
      <c r="I495" s="93"/>
      <c r="J495" s="93"/>
      <c r="K495" s="93"/>
      <c r="L495" s="93"/>
      <c r="M495" s="93"/>
    </row>
    <row r="496" spans="1:13" x14ac:dyDescent="0.3">
      <c r="A496" s="93"/>
      <c r="B496" s="93"/>
      <c r="C496" s="93"/>
      <c r="D496" s="93"/>
      <c r="E496" s="93" t="s">
        <v>1053</v>
      </c>
      <c r="F496" s="93"/>
      <c r="G496" s="93"/>
      <c r="H496" s="93"/>
      <c r="I496" s="93"/>
      <c r="J496" s="93"/>
      <c r="K496" s="93"/>
      <c r="L496" s="93"/>
      <c r="M496" s="93"/>
    </row>
    <row r="497" spans="1:13" x14ac:dyDescent="0.3">
      <c r="A497" s="93"/>
      <c r="B497" s="93"/>
      <c r="C497" s="93"/>
      <c r="D497" s="93"/>
      <c r="E497" s="93" t="s">
        <v>1054</v>
      </c>
      <c r="F497" s="93"/>
      <c r="G497" s="93"/>
      <c r="H497" s="93"/>
      <c r="I497" s="93"/>
      <c r="J497" s="93"/>
      <c r="K497" s="93"/>
      <c r="L497" s="93"/>
      <c r="M497" s="93"/>
    </row>
    <row r="498" spans="1:13" x14ac:dyDescent="0.3">
      <c r="A498" s="93"/>
      <c r="B498" s="93"/>
      <c r="C498" s="93" t="s">
        <v>1055</v>
      </c>
      <c r="D498" s="93"/>
      <c r="E498" s="93"/>
      <c r="F498" s="93"/>
      <c r="G498" s="93"/>
      <c r="H498" s="93"/>
      <c r="I498" s="93"/>
      <c r="J498" s="93"/>
      <c r="K498" s="93"/>
      <c r="L498" s="93"/>
      <c r="M498" s="93"/>
    </row>
    <row r="499" spans="1:13" x14ac:dyDescent="0.3">
      <c r="A499" s="93"/>
      <c r="B499" s="93"/>
      <c r="C499" s="93"/>
      <c r="D499" s="93" t="s">
        <v>1056</v>
      </c>
      <c r="E499" s="93"/>
      <c r="F499" s="93"/>
      <c r="G499" s="93"/>
      <c r="H499" s="93"/>
      <c r="I499" s="93"/>
      <c r="J499" s="93"/>
      <c r="K499" s="93"/>
      <c r="L499" s="93"/>
      <c r="M499" s="93"/>
    </row>
    <row r="500" spans="1:13" x14ac:dyDescent="0.3">
      <c r="A500" s="93"/>
      <c r="B500" s="93"/>
      <c r="C500" s="93"/>
      <c r="D500" s="93"/>
      <c r="E500" s="93" t="s">
        <v>1057</v>
      </c>
      <c r="F500" s="93"/>
      <c r="G500" s="93"/>
      <c r="H500" s="93"/>
      <c r="I500" s="93"/>
      <c r="J500" s="93"/>
      <c r="K500" s="93"/>
      <c r="L500" s="93"/>
      <c r="M500" s="93"/>
    </row>
    <row r="501" spans="1:13" x14ac:dyDescent="0.3">
      <c r="A501" s="93"/>
      <c r="B501" s="93"/>
      <c r="C501" s="93"/>
      <c r="D501" s="93"/>
      <c r="E501" s="93" t="s">
        <v>1058</v>
      </c>
      <c r="F501" s="93"/>
      <c r="G501" s="93"/>
      <c r="H501" s="93"/>
      <c r="I501" s="93"/>
      <c r="J501" s="93"/>
      <c r="K501" s="93"/>
      <c r="L501" s="93"/>
      <c r="M501" s="93"/>
    </row>
    <row r="502" spans="1:13" x14ac:dyDescent="0.3">
      <c r="A502" s="93"/>
      <c r="B502" s="93"/>
      <c r="C502" s="93"/>
      <c r="D502" s="93"/>
      <c r="E502" s="93" t="s">
        <v>1059</v>
      </c>
      <c r="F502" s="93"/>
      <c r="G502" s="93"/>
      <c r="H502" s="93"/>
      <c r="I502" s="93"/>
      <c r="J502" s="93"/>
      <c r="K502" s="93"/>
      <c r="L502" s="93"/>
      <c r="M502" s="93"/>
    </row>
    <row r="503" spans="1:13" x14ac:dyDescent="0.3">
      <c r="A503" s="93"/>
      <c r="B503" s="93"/>
      <c r="C503" s="93" t="s">
        <v>1060</v>
      </c>
      <c r="D503" s="93"/>
      <c r="E503" s="93"/>
      <c r="F503" s="93"/>
      <c r="G503" s="93"/>
      <c r="H503" s="93"/>
      <c r="I503" s="93"/>
      <c r="J503" s="93"/>
      <c r="K503" s="93"/>
      <c r="L503" s="93"/>
      <c r="M503" s="93"/>
    </row>
    <row r="504" spans="1:13" x14ac:dyDescent="0.3">
      <c r="A504" s="93"/>
      <c r="B504" s="93"/>
      <c r="C504" s="93"/>
      <c r="D504" s="93" t="s">
        <v>1056</v>
      </c>
      <c r="E504" s="93"/>
      <c r="F504" s="93"/>
      <c r="G504" s="93"/>
      <c r="H504" s="93"/>
      <c r="I504" s="93"/>
      <c r="J504" s="93"/>
      <c r="K504" s="93"/>
      <c r="L504" s="93"/>
      <c r="M504" s="93"/>
    </row>
    <row r="505" spans="1:13" x14ac:dyDescent="0.3">
      <c r="A505" s="93"/>
      <c r="B505" s="92" t="s">
        <v>1061</v>
      </c>
      <c r="C505" s="92"/>
      <c r="D505" s="92"/>
      <c r="E505" s="92"/>
      <c r="F505" s="92"/>
      <c r="G505" s="92"/>
      <c r="H505" s="93"/>
      <c r="I505" s="93"/>
      <c r="J505" s="93"/>
      <c r="K505" s="93"/>
      <c r="L505" s="93"/>
      <c r="M505" s="93"/>
    </row>
    <row r="506" spans="1:13" x14ac:dyDescent="0.3">
      <c r="A506" s="93"/>
      <c r="B506" s="93"/>
      <c r="C506" s="93" t="s">
        <v>1062</v>
      </c>
      <c r="D506" s="93"/>
      <c r="E506" s="93"/>
      <c r="F506" s="93"/>
      <c r="G506" s="93"/>
      <c r="H506" s="93"/>
      <c r="I506" s="93"/>
      <c r="J506" s="93"/>
      <c r="K506" s="93"/>
      <c r="L506" s="93"/>
      <c r="M506" s="93"/>
    </row>
    <row r="507" spans="1:13" x14ac:dyDescent="0.3">
      <c r="A507" s="93"/>
      <c r="B507" s="93"/>
      <c r="C507" s="93"/>
      <c r="D507" s="93" t="s">
        <v>1063</v>
      </c>
      <c r="E507" s="93"/>
      <c r="F507" s="93"/>
      <c r="G507" s="93"/>
      <c r="H507" s="93"/>
      <c r="I507" s="93"/>
      <c r="J507" s="93"/>
      <c r="K507" s="93"/>
      <c r="L507" s="93"/>
      <c r="M507" s="93"/>
    </row>
    <row r="508" spans="1:13" x14ac:dyDescent="0.3">
      <c r="A508" s="93"/>
      <c r="B508" s="93"/>
      <c r="C508" s="93"/>
      <c r="D508" s="93"/>
      <c r="E508" s="93" t="s">
        <v>1064</v>
      </c>
      <c r="F508" s="93"/>
      <c r="G508" s="93"/>
      <c r="H508" s="93"/>
      <c r="I508" s="93"/>
      <c r="J508" s="93"/>
      <c r="K508" s="93"/>
      <c r="L508" s="93"/>
      <c r="M508" s="93"/>
    </row>
    <row r="509" spans="1:13" x14ac:dyDescent="0.3">
      <c r="A509" s="93"/>
      <c r="B509" s="93"/>
      <c r="C509" s="93"/>
      <c r="D509" s="93"/>
      <c r="E509" s="93" t="s">
        <v>1065</v>
      </c>
      <c r="F509" s="93"/>
      <c r="G509" s="93"/>
      <c r="H509" s="93"/>
      <c r="I509" s="93"/>
      <c r="J509" s="93"/>
      <c r="K509" s="93"/>
      <c r="L509" s="93"/>
      <c r="M509" s="93"/>
    </row>
    <row r="510" spans="1:13" x14ac:dyDescent="0.3">
      <c r="A510" s="93"/>
      <c r="B510" s="93"/>
      <c r="C510" s="93"/>
      <c r="D510" s="93"/>
      <c r="E510" s="93" t="s">
        <v>1066</v>
      </c>
      <c r="F510" s="93"/>
      <c r="G510" s="93"/>
      <c r="H510" s="93"/>
      <c r="I510" s="93"/>
      <c r="J510" s="93"/>
      <c r="K510" s="93"/>
      <c r="L510" s="93"/>
      <c r="M510" s="93"/>
    </row>
    <row r="511" spans="1:13" x14ac:dyDescent="0.3">
      <c r="A511" s="93"/>
      <c r="B511" s="93"/>
      <c r="C511" s="92" t="s">
        <v>1067</v>
      </c>
      <c r="D511" s="92"/>
      <c r="E511" s="92"/>
      <c r="F511" s="92"/>
      <c r="G511" s="92"/>
      <c r="H511" s="93"/>
      <c r="I511" s="93"/>
      <c r="J511" s="93"/>
      <c r="K511" s="93"/>
      <c r="L511" s="93"/>
      <c r="M511" s="93"/>
    </row>
    <row r="512" spans="1:13" x14ac:dyDescent="0.3">
      <c r="A512" s="93"/>
      <c r="B512" s="93"/>
      <c r="C512" s="92"/>
      <c r="D512" s="92"/>
      <c r="E512" s="92" t="s">
        <v>1068</v>
      </c>
      <c r="F512" s="92"/>
      <c r="G512" s="92"/>
      <c r="H512" s="93"/>
      <c r="I512" s="93"/>
      <c r="J512" s="93"/>
      <c r="K512" s="93"/>
      <c r="L512" s="93"/>
      <c r="M512" s="93"/>
    </row>
    <row r="513" spans="1:13" x14ac:dyDescent="0.3">
      <c r="A513" s="93"/>
      <c r="B513" s="93"/>
      <c r="C513" s="92"/>
      <c r="D513" s="92"/>
      <c r="E513" s="92"/>
      <c r="F513" s="92" t="s">
        <v>1069</v>
      </c>
      <c r="G513" s="92"/>
      <c r="H513" s="93"/>
      <c r="I513" s="93"/>
      <c r="J513" s="93"/>
      <c r="K513" s="93"/>
      <c r="L513" s="93"/>
      <c r="M513" s="93"/>
    </row>
    <row r="514" spans="1:13" x14ac:dyDescent="0.3">
      <c r="A514" s="93"/>
      <c r="B514" s="93"/>
      <c r="C514" s="92"/>
      <c r="D514" s="92"/>
      <c r="E514" s="92"/>
      <c r="F514" s="92" t="s">
        <v>1070</v>
      </c>
      <c r="G514" s="92"/>
      <c r="H514" s="93"/>
      <c r="I514" s="93"/>
      <c r="J514" s="93"/>
      <c r="K514" s="93"/>
      <c r="L514" s="93"/>
      <c r="M514" s="93"/>
    </row>
    <row r="515" spans="1:13" x14ac:dyDescent="0.3">
      <c r="A515" s="93"/>
      <c r="B515" s="93"/>
      <c r="C515" s="92" t="s">
        <v>1071</v>
      </c>
      <c r="D515" s="92"/>
      <c r="E515" s="92"/>
      <c r="F515" s="92"/>
      <c r="G515" s="92"/>
      <c r="H515" s="93"/>
      <c r="I515" s="93"/>
      <c r="J515" s="93"/>
      <c r="K515" s="93"/>
      <c r="L515" s="93"/>
      <c r="M515" s="93"/>
    </row>
    <row r="516" spans="1:13" x14ac:dyDescent="0.3">
      <c r="A516" s="93"/>
      <c r="B516" s="93"/>
      <c r="C516" s="92"/>
      <c r="D516" s="92" t="s">
        <v>1072</v>
      </c>
      <c r="E516" s="92"/>
      <c r="F516" s="92"/>
      <c r="G516" s="92"/>
      <c r="H516" s="93"/>
      <c r="I516" s="93"/>
      <c r="J516" s="93"/>
      <c r="K516" s="93"/>
      <c r="L516" s="93"/>
      <c r="M516" s="93"/>
    </row>
    <row r="517" spans="1:13" x14ac:dyDescent="0.3">
      <c r="A517" s="93"/>
      <c r="B517" s="93"/>
      <c r="C517" s="92"/>
      <c r="D517" s="92"/>
      <c r="E517" s="92" t="s">
        <v>1073</v>
      </c>
      <c r="F517" s="92"/>
      <c r="G517" s="92"/>
      <c r="H517" s="93"/>
      <c r="I517" s="93"/>
      <c r="J517" s="93"/>
      <c r="K517" s="93"/>
      <c r="L517" s="93"/>
      <c r="M517" s="93"/>
    </row>
    <row r="518" spans="1:13" x14ac:dyDescent="0.3">
      <c r="A518" s="93"/>
      <c r="B518" s="93"/>
      <c r="C518" s="92"/>
      <c r="D518" s="92"/>
      <c r="E518" s="92" t="s">
        <v>1074</v>
      </c>
      <c r="F518" s="92"/>
      <c r="G518" s="92"/>
      <c r="H518" s="93"/>
      <c r="I518" s="93"/>
      <c r="J518" s="93"/>
      <c r="K518" s="93"/>
      <c r="L518" s="93"/>
      <c r="M518" s="93"/>
    </row>
    <row r="519" spans="1:13" x14ac:dyDescent="0.3">
      <c r="A519" s="93"/>
      <c r="B519" s="93"/>
      <c r="C519" s="92"/>
      <c r="D519" s="92"/>
      <c r="E519" s="92" t="s">
        <v>1075</v>
      </c>
      <c r="F519" s="92"/>
      <c r="G519" s="92"/>
      <c r="H519" s="93"/>
      <c r="I519" s="93"/>
      <c r="J519" s="93"/>
      <c r="K519" s="93"/>
      <c r="L519" s="93"/>
      <c r="M519" s="93"/>
    </row>
    <row r="520" spans="1:13" x14ac:dyDescent="0.3">
      <c r="A520" s="93"/>
      <c r="B520" s="93"/>
      <c r="C520" s="92"/>
      <c r="D520" s="92"/>
      <c r="E520" s="92" t="s">
        <v>1076</v>
      </c>
      <c r="F520" s="92"/>
      <c r="G520" s="92"/>
      <c r="H520" s="93"/>
      <c r="I520" s="93"/>
      <c r="J520" s="93"/>
      <c r="K520" s="93"/>
      <c r="L520" s="93"/>
      <c r="M520" s="93"/>
    </row>
    <row r="521" spans="1:13" x14ac:dyDescent="0.3">
      <c r="A521" s="93"/>
      <c r="B521" s="93" t="s">
        <v>1077</v>
      </c>
      <c r="C521" s="93"/>
      <c r="D521" s="93"/>
      <c r="E521" s="93"/>
      <c r="F521" s="93"/>
      <c r="G521" s="93"/>
      <c r="H521" s="93"/>
      <c r="I521" s="93"/>
      <c r="J521" s="93"/>
      <c r="K521" s="93"/>
      <c r="L521" s="93"/>
      <c r="M521" s="93"/>
    </row>
    <row r="522" spans="1:13" x14ac:dyDescent="0.3">
      <c r="A522" s="93"/>
      <c r="B522" s="93"/>
      <c r="C522" s="93" t="s">
        <v>1078</v>
      </c>
      <c r="D522" s="93"/>
      <c r="E522" s="93"/>
      <c r="F522" s="93"/>
      <c r="G522" s="93"/>
      <c r="H522" s="93"/>
      <c r="I522" s="93"/>
      <c r="J522" s="93"/>
      <c r="K522" s="93"/>
      <c r="L522" s="93"/>
      <c r="M522" s="93"/>
    </row>
    <row r="523" spans="1:13" x14ac:dyDescent="0.3">
      <c r="A523" s="93"/>
      <c r="B523" s="93"/>
      <c r="C523" s="93"/>
      <c r="D523" s="93" t="s">
        <v>1079</v>
      </c>
      <c r="E523" s="93"/>
      <c r="F523" s="93"/>
      <c r="G523" s="93"/>
      <c r="H523" s="93"/>
      <c r="I523" s="93"/>
      <c r="J523" s="93"/>
      <c r="K523" s="93"/>
      <c r="L523" s="93"/>
      <c r="M523" s="93"/>
    </row>
    <row r="524" spans="1:13" x14ac:dyDescent="0.3">
      <c r="A524" s="93"/>
      <c r="B524" s="93"/>
      <c r="C524" s="93" t="s">
        <v>1080</v>
      </c>
      <c r="D524" s="93"/>
      <c r="E524" s="93"/>
      <c r="F524" s="93"/>
      <c r="G524" s="93"/>
      <c r="H524" s="93"/>
      <c r="I524" s="93"/>
      <c r="J524" s="93"/>
      <c r="K524" s="93"/>
      <c r="L524" s="93"/>
      <c r="M524" s="93"/>
    </row>
    <row r="525" spans="1:13" x14ac:dyDescent="0.3">
      <c r="A525" s="93"/>
      <c r="B525" s="93"/>
      <c r="C525" s="93"/>
      <c r="D525" s="93" t="s">
        <v>1081</v>
      </c>
      <c r="E525" s="93"/>
      <c r="F525" s="93"/>
      <c r="G525" s="93"/>
      <c r="H525" s="93"/>
      <c r="I525" s="93"/>
      <c r="J525" s="93"/>
      <c r="K525" s="93"/>
      <c r="L525" s="93"/>
      <c r="M525" s="93"/>
    </row>
    <row r="526" spans="1:13" x14ac:dyDescent="0.3">
      <c r="A526" s="93"/>
      <c r="B526" s="93" t="s">
        <v>1082</v>
      </c>
      <c r="C526" s="93"/>
      <c r="D526" s="93"/>
      <c r="E526" s="93"/>
      <c r="F526" s="93"/>
      <c r="G526" s="93"/>
      <c r="H526" s="93"/>
      <c r="I526" s="93"/>
      <c r="J526" s="93"/>
      <c r="K526" s="93"/>
      <c r="L526" s="93"/>
      <c r="M526" s="93"/>
    </row>
    <row r="527" spans="1:13" x14ac:dyDescent="0.3">
      <c r="A527" s="93"/>
      <c r="B527" s="93"/>
      <c r="C527" s="93" t="s">
        <v>1083</v>
      </c>
      <c r="D527" s="93"/>
      <c r="E527" s="93"/>
      <c r="F527" s="93"/>
      <c r="G527" s="93"/>
      <c r="H527" s="93"/>
      <c r="I527" s="93"/>
      <c r="J527" s="93"/>
      <c r="K527" s="93"/>
      <c r="L527" s="93"/>
      <c r="M527" s="93"/>
    </row>
    <row r="528" spans="1:13" x14ac:dyDescent="0.3">
      <c r="A528" s="93"/>
      <c r="B528" s="93" t="s">
        <v>1084</v>
      </c>
      <c r="C528" s="93"/>
      <c r="D528" s="93"/>
      <c r="E528" s="93"/>
      <c r="F528" s="93"/>
      <c r="G528" s="93"/>
      <c r="H528" s="93"/>
      <c r="I528" s="93"/>
      <c r="J528" s="93"/>
      <c r="K528" s="93"/>
      <c r="L528" s="93"/>
      <c r="M528" s="93"/>
    </row>
    <row r="529" spans="1:13" x14ac:dyDescent="0.3">
      <c r="A529" s="93"/>
      <c r="B529" s="93"/>
      <c r="C529" s="98" t="s">
        <v>1085</v>
      </c>
      <c r="D529" s="98"/>
      <c r="E529" s="98"/>
      <c r="F529" s="93"/>
      <c r="G529" s="93"/>
      <c r="H529" s="93"/>
      <c r="I529" s="93"/>
      <c r="J529" s="93"/>
      <c r="K529" s="93"/>
      <c r="L529" s="93"/>
      <c r="M529" s="93"/>
    </row>
    <row r="530" spans="1:13" x14ac:dyDescent="0.3">
      <c r="A530" s="93"/>
      <c r="B530" s="93"/>
      <c r="C530" s="98"/>
      <c r="D530" s="99" t="s">
        <v>1086</v>
      </c>
      <c r="E530" s="98"/>
      <c r="F530" s="93"/>
      <c r="G530" s="93"/>
      <c r="H530" s="93"/>
      <c r="I530" s="93"/>
      <c r="J530" s="93"/>
      <c r="K530" s="93"/>
      <c r="L530" s="93"/>
      <c r="M530" s="93"/>
    </row>
    <row r="531" spans="1:13" x14ac:dyDescent="0.3">
      <c r="A531" s="93"/>
      <c r="B531" s="93"/>
      <c r="C531" s="98"/>
      <c r="D531" s="83"/>
      <c r="E531" s="100" t="s">
        <v>1087</v>
      </c>
      <c r="F531" s="93"/>
      <c r="G531" s="93"/>
      <c r="H531" s="93"/>
      <c r="I531" s="93"/>
      <c r="J531" s="93"/>
      <c r="K531" s="93"/>
      <c r="L531" s="93"/>
      <c r="M531" s="93"/>
    </row>
    <row r="532" spans="1:13" x14ac:dyDescent="0.3">
      <c r="A532" s="93"/>
      <c r="B532" s="93"/>
      <c r="C532" s="98"/>
      <c r="D532" s="83"/>
      <c r="E532" s="100" t="s">
        <v>1088</v>
      </c>
      <c r="F532" s="93"/>
      <c r="G532" s="93"/>
      <c r="H532" s="93"/>
      <c r="I532" s="93"/>
      <c r="J532" s="93"/>
      <c r="K532" s="93"/>
      <c r="L532" s="93"/>
      <c r="M532" s="93"/>
    </row>
    <row r="533" spans="1:13" x14ac:dyDescent="0.3">
      <c r="A533" s="93"/>
      <c r="B533" s="93"/>
      <c r="C533" s="98"/>
      <c r="D533" s="83"/>
      <c r="E533" s="100" t="s">
        <v>1089</v>
      </c>
      <c r="F533" s="93"/>
      <c r="G533" s="93"/>
      <c r="H533" s="93"/>
      <c r="I533" s="93"/>
      <c r="J533" s="93"/>
      <c r="K533" s="93"/>
      <c r="L533" s="93"/>
      <c r="M533" s="93"/>
    </row>
    <row r="534" spans="1:13" x14ac:dyDescent="0.3">
      <c r="A534" s="93"/>
      <c r="B534" s="93"/>
      <c r="C534" s="98"/>
      <c r="D534" s="83"/>
      <c r="E534" s="100" t="s">
        <v>1090</v>
      </c>
      <c r="F534" s="93"/>
      <c r="G534" s="93"/>
      <c r="H534" s="93"/>
      <c r="I534" s="93"/>
      <c r="J534" s="93"/>
      <c r="K534" s="93"/>
      <c r="L534" s="93"/>
      <c r="M534" s="93"/>
    </row>
    <row r="535" spans="1:13" x14ac:dyDescent="0.3">
      <c r="A535" s="93"/>
      <c r="B535" s="93"/>
      <c r="C535" s="98"/>
      <c r="D535" s="99" t="s">
        <v>1091</v>
      </c>
      <c r="E535" s="98"/>
      <c r="F535" s="93"/>
      <c r="G535" s="93"/>
      <c r="H535" s="93"/>
      <c r="I535" s="93"/>
      <c r="J535" s="93"/>
      <c r="K535" s="93"/>
      <c r="L535" s="93"/>
      <c r="M535" s="93"/>
    </row>
    <row r="536" spans="1:13" x14ac:dyDescent="0.3">
      <c r="A536" s="93"/>
      <c r="B536" s="93"/>
      <c r="C536" s="98" t="s">
        <v>1092</v>
      </c>
      <c r="D536" s="98"/>
      <c r="E536" s="98"/>
      <c r="F536" s="93"/>
      <c r="G536" s="93"/>
      <c r="H536" s="93"/>
      <c r="I536" s="93"/>
      <c r="J536" s="93"/>
      <c r="K536" s="93"/>
      <c r="L536" s="93"/>
      <c r="M536" s="93"/>
    </row>
    <row r="537" spans="1:13" x14ac:dyDescent="0.3">
      <c r="A537" s="93"/>
      <c r="B537" s="93"/>
      <c r="C537" s="98"/>
      <c r="D537" s="99" t="s">
        <v>1093</v>
      </c>
      <c r="E537" s="98"/>
      <c r="F537" s="93"/>
      <c r="G537" s="93"/>
      <c r="H537" s="93"/>
      <c r="I537" s="93"/>
      <c r="J537" s="93"/>
      <c r="K537" s="93"/>
      <c r="L537" s="93"/>
      <c r="M537" s="93"/>
    </row>
    <row r="538" spans="1:13" x14ac:dyDescent="0.3">
      <c r="A538" s="93"/>
      <c r="B538" s="93"/>
      <c r="C538" s="98"/>
      <c r="D538" s="83"/>
      <c r="E538" s="100" t="s">
        <v>1094</v>
      </c>
      <c r="F538" s="93"/>
      <c r="G538" s="93"/>
      <c r="H538" s="93"/>
      <c r="I538" s="93"/>
      <c r="J538" s="93"/>
      <c r="K538" s="93"/>
      <c r="L538" s="93"/>
      <c r="M538" s="93"/>
    </row>
    <row r="539" spans="1:13" x14ac:dyDescent="0.3">
      <c r="A539" s="93"/>
      <c r="B539" s="93"/>
      <c r="C539" s="98"/>
      <c r="D539" s="83"/>
      <c r="E539" s="100" t="s">
        <v>1095</v>
      </c>
      <c r="F539" s="93"/>
      <c r="G539" s="93"/>
      <c r="H539" s="93"/>
      <c r="I539" s="93"/>
      <c r="J539" s="93"/>
      <c r="K539" s="93"/>
      <c r="L539" s="93"/>
      <c r="M539" s="93"/>
    </row>
    <row r="540" spans="1:13" x14ac:dyDescent="0.3">
      <c r="A540" s="93"/>
      <c r="B540" s="93"/>
      <c r="C540" s="98"/>
      <c r="D540" s="83"/>
      <c r="E540" s="100" t="s">
        <v>984</v>
      </c>
      <c r="F540" s="93"/>
      <c r="G540" s="93"/>
      <c r="H540" s="93"/>
      <c r="I540" s="93"/>
      <c r="J540" s="93"/>
      <c r="K540" s="93"/>
      <c r="L540" s="93"/>
      <c r="M540" s="93"/>
    </row>
    <row r="541" spans="1:13" x14ac:dyDescent="0.3">
      <c r="A541" s="93"/>
      <c r="B541" s="93"/>
      <c r="C541" s="98"/>
      <c r="D541" s="83"/>
      <c r="E541" s="100" t="s">
        <v>983</v>
      </c>
      <c r="F541" s="93"/>
      <c r="G541" s="93"/>
      <c r="H541" s="93"/>
      <c r="I541" s="93"/>
      <c r="J541" s="93"/>
      <c r="K541" s="93"/>
      <c r="L541" s="93"/>
      <c r="M541" s="93"/>
    </row>
    <row r="542" spans="1:13" x14ac:dyDescent="0.3">
      <c r="A542" s="93"/>
      <c r="B542" s="93"/>
      <c r="C542" s="98"/>
      <c r="D542" s="83"/>
      <c r="E542" s="100" t="s">
        <v>1096</v>
      </c>
      <c r="F542" s="93"/>
      <c r="G542" s="93"/>
      <c r="H542" s="93"/>
      <c r="I542" s="93"/>
      <c r="J542" s="93"/>
      <c r="K542" s="93"/>
      <c r="L542" s="93"/>
      <c r="M542" s="93"/>
    </row>
    <row r="543" spans="1:13" x14ac:dyDescent="0.3">
      <c r="A543" s="93"/>
      <c r="B543" s="93"/>
      <c r="C543" s="98"/>
      <c r="D543" s="83"/>
      <c r="E543" s="100" t="s">
        <v>1097</v>
      </c>
      <c r="F543" s="93"/>
      <c r="G543" s="93"/>
      <c r="H543" s="93"/>
      <c r="I543" s="93"/>
      <c r="J543" s="93"/>
      <c r="K543" s="93"/>
      <c r="L543" s="93"/>
      <c r="M543" s="93"/>
    </row>
    <row r="544" spans="1:13" x14ac:dyDescent="0.3">
      <c r="A544" s="93"/>
      <c r="B544" s="93"/>
      <c r="C544" s="98"/>
      <c r="D544" s="83"/>
      <c r="E544" s="100" t="s">
        <v>1098</v>
      </c>
      <c r="F544" s="93"/>
      <c r="G544" s="93"/>
      <c r="H544" s="93"/>
      <c r="I544" s="93"/>
      <c r="J544" s="93"/>
      <c r="K544" s="93"/>
      <c r="L544" s="93"/>
      <c r="M544" s="93"/>
    </row>
    <row r="545" spans="1:13" x14ac:dyDescent="0.3">
      <c r="A545" s="93"/>
      <c r="B545" s="93"/>
      <c r="C545" s="98"/>
      <c r="D545" s="83"/>
      <c r="E545" s="100" t="s">
        <v>1099</v>
      </c>
      <c r="F545" s="93"/>
      <c r="G545" s="93"/>
      <c r="H545" s="93"/>
      <c r="I545" s="93"/>
      <c r="J545" s="93"/>
      <c r="K545" s="93"/>
      <c r="L545" s="93"/>
      <c r="M545" s="93"/>
    </row>
    <row r="546" spans="1:13" x14ac:dyDescent="0.3">
      <c r="A546" s="93"/>
      <c r="B546" s="93"/>
      <c r="C546" s="98"/>
      <c r="D546" s="99" t="s">
        <v>1091</v>
      </c>
      <c r="E546" s="98"/>
      <c r="F546" s="93"/>
      <c r="G546" s="93"/>
      <c r="H546" s="93"/>
      <c r="I546" s="93"/>
      <c r="J546" s="93"/>
      <c r="K546" s="93"/>
      <c r="L546" s="93"/>
      <c r="M546" s="93"/>
    </row>
    <row r="547" spans="1:13" x14ac:dyDescent="0.3">
      <c r="A547" s="93"/>
      <c r="B547" s="93"/>
      <c r="C547" s="98" t="s">
        <v>1100</v>
      </c>
      <c r="D547" s="98"/>
      <c r="E547" s="98"/>
      <c r="F547" s="93"/>
      <c r="G547" s="93"/>
      <c r="H547" s="93"/>
      <c r="I547" s="93"/>
      <c r="J547" s="93"/>
      <c r="K547" s="93"/>
      <c r="L547" s="93"/>
      <c r="M547" s="93"/>
    </row>
    <row r="548" spans="1:13" x14ac:dyDescent="0.3">
      <c r="A548" s="93"/>
      <c r="B548" s="93"/>
      <c r="C548" s="98"/>
      <c r="D548" s="99" t="s">
        <v>1101</v>
      </c>
      <c r="E548" s="98"/>
      <c r="F548" s="93"/>
      <c r="G548" s="93"/>
      <c r="H548" s="93"/>
      <c r="I548" s="93"/>
      <c r="J548" s="93"/>
      <c r="K548" s="93"/>
      <c r="L548" s="93"/>
      <c r="M548" s="93"/>
    </row>
    <row r="549" spans="1:13" x14ac:dyDescent="0.3">
      <c r="A549" s="93"/>
      <c r="B549" s="93"/>
      <c r="C549" s="98"/>
      <c r="D549" s="83"/>
      <c r="E549" s="100" t="s">
        <v>1102</v>
      </c>
      <c r="F549" s="93"/>
      <c r="G549" s="93"/>
      <c r="H549" s="93"/>
      <c r="I549" s="93"/>
      <c r="J549" s="93"/>
      <c r="K549" s="93"/>
      <c r="L549" s="93"/>
      <c r="M549" s="93"/>
    </row>
    <row r="550" spans="1:13" x14ac:dyDescent="0.3">
      <c r="A550" s="93"/>
      <c r="B550" s="93"/>
      <c r="C550" s="98"/>
      <c r="D550" s="83"/>
      <c r="E550" s="100" t="s">
        <v>1103</v>
      </c>
      <c r="F550" s="93"/>
      <c r="G550" s="93"/>
      <c r="H550" s="93"/>
      <c r="I550" s="93"/>
      <c r="J550" s="93"/>
      <c r="K550" s="93"/>
      <c r="L550" s="93"/>
      <c r="M550" s="93"/>
    </row>
    <row r="551" spans="1:13" x14ac:dyDescent="0.3">
      <c r="A551" s="93"/>
      <c r="B551" s="93"/>
      <c r="C551" s="98"/>
      <c r="D551" s="83"/>
      <c r="E551" s="100" t="s">
        <v>1104</v>
      </c>
      <c r="F551" s="93"/>
      <c r="G551" s="93"/>
      <c r="H551" s="93"/>
      <c r="I551" s="93"/>
      <c r="J551" s="93"/>
      <c r="K551" s="93"/>
      <c r="L551" s="93"/>
      <c r="M551" s="93"/>
    </row>
    <row r="552" spans="1:13" x14ac:dyDescent="0.3">
      <c r="A552" s="93"/>
      <c r="B552" s="93"/>
      <c r="C552" s="98"/>
      <c r="D552" s="83"/>
      <c r="E552" s="100" t="s">
        <v>1105</v>
      </c>
      <c r="F552" s="93"/>
      <c r="G552" s="93"/>
      <c r="H552" s="93"/>
      <c r="I552" s="93"/>
      <c r="J552" s="93"/>
      <c r="K552" s="93"/>
      <c r="L552" s="93"/>
      <c r="M552" s="93"/>
    </row>
    <row r="553" spans="1:13" x14ac:dyDescent="0.3">
      <c r="A553" s="93"/>
      <c r="B553" s="93"/>
      <c r="C553" s="98"/>
      <c r="D553" s="83"/>
      <c r="E553" s="100" t="s">
        <v>1106</v>
      </c>
      <c r="F553" s="93"/>
      <c r="G553" s="93"/>
      <c r="H553" s="93"/>
      <c r="I553" s="93"/>
      <c r="J553" s="93"/>
      <c r="K553" s="93"/>
      <c r="L553" s="93"/>
      <c r="M553" s="93"/>
    </row>
    <row r="554" spans="1:13" x14ac:dyDescent="0.3">
      <c r="A554" s="93"/>
      <c r="B554" s="93"/>
      <c r="C554" s="98"/>
      <c r="D554" s="83"/>
      <c r="E554" s="100" t="s">
        <v>1107</v>
      </c>
      <c r="F554" s="93"/>
      <c r="G554" s="93"/>
      <c r="H554" s="93"/>
      <c r="I554" s="93"/>
      <c r="J554" s="93"/>
      <c r="K554" s="93"/>
      <c r="L554" s="93"/>
      <c r="M554" s="93"/>
    </row>
    <row r="555" spans="1:13" x14ac:dyDescent="0.3">
      <c r="A555" s="93"/>
      <c r="B555" s="93"/>
      <c r="C555" s="98"/>
      <c r="D555" s="83"/>
      <c r="E555" s="100" t="s">
        <v>1108</v>
      </c>
      <c r="F555" s="93"/>
      <c r="G555" s="93"/>
      <c r="H555" s="93"/>
      <c r="I555" s="93"/>
      <c r="J555" s="93"/>
      <c r="K555" s="93"/>
      <c r="L555" s="93"/>
      <c r="M555" s="93"/>
    </row>
    <row r="556" spans="1:13" x14ac:dyDescent="0.3">
      <c r="A556" s="93"/>
      <c r="B556" s="93"/>
      <c r="C556" s="98"/>
      <c r="D556" s="83"/>
      <c r="E556" s="100" t="s">
        <v>1109</v>
      </c>
      <c r="F556" s="93"/>
      <c r="G556" s="93"/>
      <c r="H556" s="93"/>
      <c r="I556" s="93"/>
      <c r="J556" s="93"/>
      <c r="K556" s="93"/>
      <c r="L556" s="93"/>
      <c r="M556" s="93"/>
    </row>
    <row r="557" spans="1:13" x14ac:dyDescent="0.3">
      <c r="A557" s="93"/>
      <c r="B557" s="93"/>
      <c r="C557" s="98"/>
      <c r="D557" s="99" t="s">
        <v>1110</v>
      </c>
      <c r="E557" s="98"/>
      <c r="F557" s="93"/>
      <c r="G557" s="93"/>
      <c r="H557" s="93"/>
      <c r="I557" s="93"/>
      <c r="J557" s="93"/>
      <c r="K557" s="93"/>
      <c r="L557" s="93"/>
      <c r="M557" s="93"/>
    </row>
    <row r="558" spans="1:13" x14ac:dyDescent="0.3">
      <c r="A558" s="93"/>
      <c r="B558" s="93"/>
      <c r="C558" s="98" t="s">
        <v>1111</v>
      </c>
      <c r="D558" s="98"/>
      <c r="E558" s="98"/>
      <c r="F558" s="93"/>
      <c r="G558" s="93"/>
      <c r="H558" s="93"/>
      <c r="I558" s="93"/>
      <c r="J558" s="93"/>
      <c r="K558" s="93"/>
      <c r="L558" s="93"/>
      <c r="M558" s="93"/>
    </row>
    <row r="559" spans="1:13" x14ac:dyDescent="0.3">
      <c r="A559" s="93"/>
      <c r="B559" s="93"/>
      <c r="C559" s="98"/>
      <c r="D559" s="99" t="s">
        <v>1112</v>
      </c>
      <c r="E559" s="98"/>
      <c r="F559" s="93"/>
      <c r="G559" s="93"/>
      <c r="H559" s="93"/>
      <c r="I559" s="93"/>
      <c r="J559" s="93"/>
      <c r="K559" s="93"/>
      <c r="L559" s="93"/>
      <c r="M559" s="93"/>
    </row>
    <row r="560" spans="1:13" x14ac:dyDescent="0.3">
      <c r="A560" s="93"/>
      <c r="B560" s="93"/>
      <c r="C560" s="98"/>
      <c r="D560" s="83"/>
      <c r="E560" s="100" t="s">
        <v>1113</v>
      </c>
      <c r="F560" s="93"/>
      <c r="G560" s="93"/>
      <c r="H560" s="93"/>
      <c r="I560" s="93"/>
      <c r="J560" s="93"/>
      <c r="K560" s="93"/>
      <c r="L560" s="93"/>
      <c r="M560" s="93"/>
    </row>
    <row r="561" spans="1:13" x14ac:dyDescent="0.3">
      <c r="A561" s="93"/>
      <c r="B561" s="93"/>
      <c r="C561" s="98"/>
      <c r="D561" s="83"/>
      <c r="E561" s="100" t="s">
        <v>1114</v>
      </c>
      <c r="F561" s="93"/>
      <c r="G561" s="93"/>
      <c r="H561" s="93"/>
      <c r="I561" s="93"/>
      <c r="J561" s="93"/>
      <c r="K561" s="93"/>
      <c r="L561" s="93"/>
      <c r="M561" s="93"/>
    </row>
    <row r="562" spans="1:13" x14ac:dyDescent="0.3">
      <c r="A562" s="93"/>
      <c r="B562" s="93"/>
      <c r="C562" s="98"/>
      <c r="D562" s="83"/>
      <c r="E562" s="100" t="s">
        <v>1115</v>
      </c>
      <c r="F562" s="93"/>
      <c r="G562" s="93"/>
      <c r="H562" s="93"/>
      <c r="I562" s="93"/>
      <c r="J562" s="93"/>
      <c r="K562" s="93"/>
      <c r="L562" s="93"/>
      <c r="M562" s="93"/>
    </row>
    <row r="563" spans="1:13" x14ac:dyDescent="0.3">
      <c r="A563" s="93"/>
      <c r="B563" s="93"/>
      <c r="C563" s="98"/>
      <c r="D563" s="83"/>
      <c r="E563" s="100" t="s">
        <v>1116</v>
      </c>
      <c r="F563" s="93"/>
      <c r="G563" s="93"/>
      <c r="H563" s="93"/>
      <c r="I563" s="93"/>
      <c r="J563" s="93"/>
      <c r="K563" s="93"/>
      <c r="L563" s="93"/>
      <c r="M563" s="93"/>
    </row>
    <row r="564" spans="1:13" x14ac:dyDescent="0.3">
      <c r="A564" s="93"/>
      <c r="B564" s="93"/>
      <c r="C564" s="98"/>
      <c r="D564" s="83"/>
      <c r="E564" s="100" t="s">
        <v>1117</v>
      </c>
      <c r="F564" s="93"/>
      <c r="G564" s="93"/>
      <c r="H564" s="93"/>
      <c r="I564" s="93"/>
      <c r="J564" s="93"/>
      <c r="K564" s="93"/>
      <c r="L564" s="93"/>
      <c r="M564" s="93"/>
    </row>
    <row r="565" spans="1:13" x14ac:dyDescent="0.3">
      <c r="A565" s="93"/>
      <c r="B565" s="93"/>
      <c r="C565" s="98"/>
      <c r="D565" s="83"/>
      <c r="E565" s="100" t="s">
        <v>1118</v>
      </c>
      <c r="F565" s="93"/>
      <c r="G565" s="93"/>
      <c r="H565" s="93"/>
      <c r="I565" s="93"/>
      <c r="J565" s="93"/>
      <c r="K565" s="93"/>
      <c r="L565" s="93"/>
      <c r="M565" s="93"/>
    </row>
    <row r="566" spans="1:13" x14ac:dyDescent="0.3">
      <c r="A566" s="93"/>
      <c r="B566" s="93"/>
      <c r="C566" s="98"/>
      <c r="D566" s="99" t="s">
        <v>1091</v>
      </c>
      <c r="E566" s="98"/>
      <c r="F566" s="93"/>
      <c r="G566" s="93"/>
      <c r="H566" s="93"/>
      <c r="I566" s="93"/>
      <c r="J566" s="93"/>
      <c r="K566" s="93"/>
      <c r="L566" s="93"/>
      <c r="M566" s="93"/>
    </row>
    <row r="567" spans="1:13" x14ac:dyDescent="0.3">
      <c r="A567" s="93"/>
      <c r="B567" s="93" t="s">
        <v>1119</v>
      </c>
      <c r="C567" s="93"/>
      <c r="D567" s="93"/>
      <c r="E567" s="93"/>
      <c r="F567" s="93"/>
      <c r="G567" s="93"/>
      <c r="H567" s="93"/>
      <c r="I567" s="93"/>
      <c r="J567" s="93"/>
      <c r="K567" s="93"/>
      <c r="L567" s="93"/>
      <c r="M567" s="93"/>
    </row>
    <row r="568" spans="1:13" x14ac:dyDescent="0.3">
      <c r="A568" s="93"/>
      <c r="B568" s="93"/>
      <c r="C568" s="93" t="s">
        <v>1120</v>
      </c>
      <c r="D568" s="93"/>
      <c r="E568" s="93"/>
      <c r="F568" s="93"/>
      <c r="G568" s="93"/>
      <c r="H568" s="93"/>
      <c r="I568" s="93"/>
      <c r="J568" s="93"/>
      <c r="K568" s="93"/>
      <c r="L568" s="93"/>
      <c r="M568" s="93"/>
    </row>
    <row r="569" spans="1:13" x14ac:dyDescent="0.3">
      <c r="A569" s="93"/>
      <c r="B569" s="93"/>
      <c r="C569" s="93"/>
      <c r="D569" s="93" t="s">
        <v>1121</v>
      </c>
      <c r="E569" s="93"/>
      <c r="F569" s="93"/>
      <c r="G569" s="93"/>
      <c r="H569" s="93"/>
      <c r="I569" s="93"/>
      <c r="J569" s="93"/>
      <c r="K569" s="93"/>
      <c r="L569" s="93"/>
      <c r="M569" s="93"/>
    </row>
    <row r="570" spans="1:13" x14ac:dyDescent="0.3">
      <c r="A570" s="93"/>
      <c r="B570" s="93"/>
      <c r="C570" s="93"/>
      <c r="D570" s="93" t="s">
        <v>1122</v>
      </c>
      <c r="E570" s="93"/>
      <c r="F570" s="93"/>
      <c r="G570" s="93"/>
      <c r="H570" s="93"/>
      <c r="I570" s="93"/>
      <c r="J570" s="93"/>
      <c r="K570" s="93"/>
      <c r="L570" s="93"/>
      <c r="M570" s="93"/>
    </row>
    <row r="571" spans="1:13" x14ac:dyDescent="0.3">
      <c r="A571" s="93"/>
      <c r="B571" s="93"/>
      <c r="C571" s="93"/>
      <c r="D571" s="93" t="s">
        <v>1123</v>
      </c>
      <c r="E571" s="93"/>
      <c r="F571" s="93"/>
      <c r="G571" s="93"/>
      <c r="H571" s="93"/>
      <c r="I571" s="93"/>
      <c r="J571" s="93"/>
      <c r="K571" s="93"/>
      <c r="L571" s="93"/>
      <c r="M571" s="93"/>
    </row>
    <row r="572" spans="1:13" x14ac:dyDescent="0.3">
      <c r="A572" s="93"/>
      <c r="B572" s="93"/>
      <c r="C572" s="93"/>
      <c r="D572" s="93" t="s">
        <v>144</v>
      </c>
      <c r="E572" s="93"/>
      <c r="F572" s="93"/>
      <c r="G572" s="93"/>
      <c r="H572" s="93"/>
      <c r="I572" s="93"/>
      <c r="J572" s="93"/>
      <c r="K572" s="93"/>
      <c r="L572" s="93"/>
      <c r="M572" s="93"/>
    </row>
    <row r="573" spans="1:13" x14ac:dyDescent="0.3">
      <c r="A573" s="93"/>
      <c r="B573" s="93"/>
      <c r="C573" s="93"/>
      <c r="D573" s="93" t="s">
        <v>1124</v>
      </c>
      <c r="E573" s="93"/>
      <c r="F573" s="93"/>
      <c r="G573" s="93"/>
      <c r="H573" s="93"/>
      <c r="I573" s="93"/>
      <c r="J573" s="93"/>
      <c r="K573" s="93"/>
      <c r="L573" s="93"/>
      <c r="M573" s="93"/>
    </row>
    <row r="574" spans="1:13" x14ac:dyDescent="0.3">
      <c r="A574" s="93"/>
      <c r="B574" s="93"/>
      <c r="C574" s="93"/>
      <c r="D574" s="93" t="s">
        <v>1125</v>
      </c>
      <c r="E574" s="93"/>
      <c r="F574" s="93"/>
      <c r="G574" s="93"/>
      <c r="H574" s="93"/>
      <c r="I574" s="93"/>
      <c r="J574" s="93"/>
      <c r="K574" s="93"/>
      <c r="L574" s="93"/>
      <c r="M574" s="93"/>
    </row>
    <row r="575" spans="1:13" x14ac:dyDescent="0.3">
      <c r="A575" s="93"/>
      <c r="B575" s="94"/>
      <c r="C575" s="93"/>
      <c r="D575" s="93" t="s">
        <v>1126</v>
      </c>
      <c r="E575" s="93"/>
      <c r="F575" s="93"/>
      <c r="G575" s="93"/>
      <c r="H575" s="93"/>
      <c r="I575" s="93"/>
      <c r="J575" s="93"/>
      <c r="K575" s="93"/>
      <c r="L575" s="93"/>
      <c r="M575" s="93"/>
    </row>
    <row r="576" spans="1:13" x14ac:dyDescent="0.3">
      <c r="A576" s="93"/>
      <c r="B576" s="93"/>
      <c r="C576" s="93"/>
      <c r="D576" s="92" t="s">
        <v>1127</v>
      </c>
      <c r="E576" s="93"/>
      <c r="F576" s="93"/>
      <c r="G576" s="93"/>
      <c r="H576" s="93"/>
      <c r="I576" s="93"/>
      <c r="J576" s="93"/>
      <c r="K576" s="93"/>
      <c r="L576" s="93"/>
      <c r="M576" s="93"/>
    </row>
    <row r="577" spans="1:13" x14ac:dyDescent="0.3">
      <c r="A577" s="93"/>
      <c r="B577" s="93"/>
      <c r="C577" s="93"/>
      <c r="D577" s="92" t="s">
        <v>1128</v>
      </c>
      <c r="E577" s="93"/>
      <c r="F577" s="93"/>
      <c r="G577" s="93"/>
      <c r="H577" s="93"/>
      <c r="I577" s="93"/>
      <c r="J577" s="93"/>
      <c r="K577" s="93"/>
      <c r="L577" s="93"/>
      <c r="M577" s="93"/>
    </row>
    <row r="578" spans="1:13" x14ac:dyDescent="0.3">
      <c r="A578" s="93"/>
      <c r="B578" s="93"/>
      <c r="C578" s="93" t="s">
        <v>1129</v>
      </c>
      <c r="D578" s="93"/>
      <c r="E578" s="93"/>
      <c r="F578" s="93"/>
      <c r="G578" s="93"/>
      <c r="H578" s="93"/>
      <c r="I578" s="93"/>
      <c r="J578" s="93"/>
      <c r="K578" s="93"/>
      <c r="L578" s="93"/>
      <c r="M578" s="93"/>
    </row>
    <row r="579" spans="1:13" x14ac:dyDescent="0.3">
      <c r="A579" s="93"/>
      <c r="B579" s="93"/>
      <c r="C579" s="93"/>
      <c r="D579" s="93" t="s">
        <v>1130</v>
      </c>
      <c r="E579" s="93"/>
      <c r="F579" s="93"/>
      <c r="G579" s="93"/>
      <c r="H579" s="93"/>
      <c r="I579" s="93"/>
      <c r="J579" s="93"/>
      <c r="K579" s="93"/>
      <c r="L579" s="93"/>
      <c r="M579" s="93"/>
    </row>
    <row r="580" spans="1:13" x14ac:dyDescent="0.3">
      <c r="A580" s="93"/>
      <c r="B580" s="93"/>
      <c r="C580" s="93"/>
      <c r="D580" s="93" t="s">
        <v>318</v>
      </c>
      <c r="E580" s="93"/>
      <c r="F580" s="93"/>
      <c r="G580" s="93"/>
      <c r="H580" s="93"/>
      <c r="I580" s="93"/>
      <c r="J580" s="93"/>
      <c r="K580" s="93"/>
      <c r="L580" s="93"/>
      <c r="M580" s="93"/>
    </row>
    <row r="581" spans="1:13" x14ac:dyDescent="0.3">
      <c r="A581" s="93"/>
      <c r="B581" s="94"/>
      <c r="C581" s="93"/>
      <c r="D581" s="93" t="s">
        <v>985</v>
      </c>
      <c r="E581" s="93"/>
      <c r="F581" s="93"/>
      <c r="G581" s="93"/>
      <c r="H581" s="93"/>
      <c r="I581" s="93"/>
      <c r="J581" s="93"/>
      <c r="K581" s="93"/>
      <c r="L581" s="93"/>
      <c r="M581" s="93"/>
    </row>
    <row r="582" spans="1:13" x14ac:dyDescent="0.3">
      <c r="A582" s="93"/>
      <c r="B582" s="94"/>
      <c r="C582" s="93"/>
      <c r="D582" s="93" t="s">
        <v>1131</v>
      </c>
      <c r="E582" s="93"/>
      <c r="F582" s="93"/>
      <c r="G582" s="93"/>
      <c r="H582" s="93"/>
      <c r="I582" s="93"/>
      <c r="J582" s="93"/>
      <c r="K582" s="93"/>
      <c r="L582" s="93"/>
      <c r="M582" s="93"/>
    </row>
    <row r="583" spans="1:13" x14ac:dyDescent="0.3">
      <c r="A583" s="93"/>
      <c r="B583" s="93"/>
      <c r="C583" s="93" t="s">
        <v>1132</v>
      </c>
      <c r="D583" s="93"/>
      <c r="E583" s="93"/>
      <c r="F583" s="93"/>
      <c r="G583" s="93"/>
      <c r="H583" s="93"/>
      <c r="I583" s="93"/>
      <c r="J583" s="93"/>
      <c r="K583" s="93"/>
      <c r="L583" s="93"/>
      <c r="M583" s="93"/>
    </row>
    <row r="584" spans="1:13" x14ac:dyDescent="0.3">
      <c r="A584" s="93"/>
      <c r="B584" s="93"/>
      <c r="C584" s="93"/>
      <c r="D584" s="92" t="s">
        <v>1133</v>
      </c>
      <c r="E584" s="93"/>
      <c r="F584" s="93"/>
      <c r="G584" s="93"/>
      <c r="H584" s="93"/>
      <c r="I584" s="93"/>
      <c r="J584" s="93"/>
      <c r="K584" s="93"/>
      <c r="L584" s="93"/>
      <c r="M584" s="93"/>
    </row>
    <row r="585" spans="1:13" x14ac:dyDescent="0.3">
      <c r="A585" s="93"/>
      <c r="B585" s="94"/>
      <c r="C585" s="93"/>
      <c r="D585" s="92" t="s">
        <v>1134</v>
      </c>
      <c r="E585" s="93"/>
      <c r="F585" s="93"/>
      <c r="G585" s="93"/>
      <c r="H585" s="93"/>
      <c r="I585" s="93"/>
      <c r="J585" s="93"/>
      <c r="K585" s="93"/>
      <c r="L585" s="93"/>
      <c r="M585" s="93"/>
    </row>
    <row r="586" spans="1:13" x14ac:dyDescent="0.3">
      <c r="A586" s="93"/>
      <c r="B586" s="93"/>
      <c r="C586" s="93"/>
      <c r="D586" s="92" t="s">
        <v>1135</v>
      </c>
      <c r="E586" s="93"/>
      <c r="F586" s="93"/>
      <c r="G586" s="93"/>
      <c r="H586" s="93"/>
      <c r="I586" s="93"/>
      <c r="J586" s="93"/>
      <c r="K586" s="93"/>
      <c r="L586" s="93"/>
      <c r="M586" s="93"/>
    </row>
    <row r="587" spans="1:13" x14ac:dyDescent="0.3">
      <c r="A587" s="93"/>
      <c r="B587" s="93" t="s">
        <v>1136</v>
      </c>
      <c r="C587" s="93"/>
      <c r="D587" s="93"/>
      <c r="E587" s="93"/>
      <c r="F587" s="93"/>
      <c r="G587" s="93"/>
      <c r="H587" s="93"/>
      <c r="I587" s="93"/>
      <c r="J587" s="93"/>
      <c r="K587" s="93"/>
      <c r="L587" s="94"/>
      <c r="M587" s="93"/>
    </row>
    <row r="588" spans="1:13" x14ac:dyDescent="0.3">
      <c r="A588" s="93"/>
      <c r="B588" s="93"/>
      <c r="C588" s="93" t="s">
        <v>1137</v>
      </c>
      <c r="D588" s="93"/>
      <c r="E588" s="93"/>
      <c r="F588" s="93"/>
      <c r="G588" s="93"/>
      <c r="H588" s="93"/>
      <c r="I588" s="93"/>
      <c r="J588" s="93"/>
      <c r="K588" s="93"/>
      <c r="L588" s="93"/>
      <c r="M588" s="93"/>
    </row>
    <row r="589" spans="1:13" x14ac:dyDescent="0.3">
      <c r="A589" s="93"/>
      <c r="B589" s="94"/>
      <c r="C589" s="93"/>
      <c r="D589" s="93" t="s">
        <v>1138</v>
      </c>
      <c r="E589" s="93"/>
      <c r="F589" s="93"/>
      <c r="G589" s="93"/>
      <c r="H589" s="93"/>
      <c r="I589" s="93"/>
      <c r="J589" s="93"/>
      <c r="K589" s="93"/>
      <c r="L589" s="94"/>
      <c r="M589" s="93"/>
    </row>
    <row r="590" spans="1:13" x14ac:dyDescent="0.3">
      <c r="A590" s="93"/>
      <c r="B590" s="93"/>
      <c r="C590" s="93"/>
      <c r="D590" s="93" t="s">
        <v>1139</v>
      </c>
      <c r="E590" s="93"/>
      <c r="F590" s="93"/>
      <c r="G590" s="93"/>
      <c r="H590" s="93"/>
      <c r="I590" s="93"/>
      <c r="J590" s="93"/>
      <c r="K590" s="93"/>
      <c r="L590" s="93"/>
      <c r="M590" s="93"/>
    </row>
    <row r="591" spans="1:13" x14ac:dyDescent="0.3">
      <c r="A591" s="93"/>
      <c r="B591" s="93"/>
      <c r="C591" s="93"/>
      <c r="D591" s="93"/>
      <c r="E591" s="93" t="s">
        <v>1140</v>
      </c>
      <c r="F591" s="93"/>
      <c r="G591" s="93"/>
      <c r="H591" s="93"/>
      <c r="I591" s="93"/>
      <c r="J591" s="93"/>
      <c r="K591" s="93"/>
      <c r="L591" s="94"/>
      <c r="M591" s="93"/>
    </row>
    <row r="592" spans="1:13" x14ac:dyDescent="0.3">
      <c r="A592" s="93"/>
      <c r="B592" s="94"/>
      <c r="C592" s="93"/>
      <c r="D592" s="93"/>
      <c r="E592" s="93" t="s">
        <v>1141</v>
      </c>
      <c r="F592" s="93"/>
      <c r="G592" s="93"/>
      <c r="H592" s="93"/>
      <c r="I592" s="93"/>
      <c r="J592" s="93"/>
      <c r="K592" s="93"/>
      <c r="L592" s="93"/>
      <c r="M592" s="93"/>
    </row>
    <row r="593" spans="1:13" x14ac:dyDescent="0.3">
      <c r="A593" s="93"/>
      <c r="B593" s="93"/>
      <c r="C593" s="93"/>
      <c r="D593" s="93"/>
      <c r="E593" s="93" t="s">
        <v>1142</v>
      </c>
      <c r="F593" s="93"/>
      <c r="G593" s="93"/>
      <c r="H593" s="93"/>
      <c r="I593" s="93"/>
      <c r="J593" s="93"/>
      <c r="K593" s="93"/>
      <c r="L593" s="94"/>
      <c r="M593" s="93"/>
    </row>
    <row r="594" spans="1:13" x14ac:dyDescent="0.3">
      <c r="A594" s="93"/>
      <c r="B594" s="93"/>
      <c r="C594" s="93"/>
      <c r="D594" s="93"/>
      <c r="E594" s="93" t="s">
        <v>1143</v>
      </c>
      <c r="F594" s="93"/>
      <c r="G594" s="93"/>
      <c r="H594" s="93"/>
      <c r="I594" s="93"/>
      <c r="J594" s="93"/>
      <c r="K594" s="93"/>
      <c r="L594" s="93"/>
      <c r="M594" s="93"/>
    </row>
    <row r="595" spans="1:13" x14ac:dyDescent="0.3">
      <c r="A595" s="93"/>
      <c r="B595" s="93"/>
      <c r="C595" s="93"/>
      <c r="D595" s="93"/>
      <c r="E595" s="93" t="s">
        <v>1144</v>
      </c>
      <c r="F595" s="93"/>
      <c r="G595" s="93"/>
      <c r="H595" s="93"/>
      <c r="I595" s="93"/>
      <c r="J595" s="93"/>
      <c r="K595" s="93"/>
      <c r="L595" s="94"/>
      <c r="M595" s="93"/>
    </row>
    <row r="596" spans="1:13" x14ac:dyDescent="0.3">
      <c r="A596" s="93"/>
      <c r="B596" s="93"/>
      <c r="C596" s="93" t="s">
        <v>1145</v>
      </c>
      <c r="D596" s="93"/>
      <c r="E596" s="93"/>
      <c r="F596" s="93"/>
      <c r="G596" s="93"/>
      <c r="H596" s="93"/>
      <c r="I596" s="93"/>
      <c r="J596" s="93"/>
      <c r="K596" s="93"/>
      <c r="L596" s="93"/>
      <c r="M596" s="93"/>
    </row>
    <row r="597" spans="1:13" x14ac:dyDescent="0.3">
      <c r="A597" s="93"/>
      <c r="B597" s="93"/>
      <c r="C597" s="93"/>
      <c r="D597" s="93" t="s">
        <v>1146</v>
      </c>
      <c r="E597" s="93"/>
      <c r="F597" s="93"/>
      <c r="G597" s="93"/>
      <c r="H597" s="93"/>
      <c r="I597" s="93"/>
      <c r="J597" s="93"/>
      <c r="K597" s="93"/>
      <c r="L597" s="94"/>
      <c r="M597" s="93"/>
    </row>
    <row r="598" spans="1:13" x14ac:dyDescent="0.3">
      <c r="A598" s="93"/>
      <c r="B598" s="93"/>
      <c r="C598" s="93"/>
      <c r="D598" s="93" t="s">
        <v>1147</v>
      </c>
      <c r="E598" s="93"/>
      <c r="F598" s="93"/>
      <c r="G598" s="93"/>
      <c r="H598" s="93"/>
      <c r="I598" s="93"/>
      <c r="J598" s="93"/>
      <c r="K598" s="93"/>
      <c r="L598" s="93"/>
      <c r="M598" s="93"/>
    </row>
    <row r="599" spans="1:13" x14ac:dyDescent="0.3">
      <c r="A599" s="93"/>
      <c r="B599" s="93"/>
      <c r="C599" s="93"/>
      <c r="D599" s="93"/>
      <c r="E599" s="93" t="s">
        <v>1148</v>
      </c>
      <c r="F599" s="93"/>
      <c r="G599" s="93"/>
      <c r="H599" s="93"/>
      <c r="I599" s="93"/>
      <c r="J599" s="93"/>
      <c r="K599" s="93"/>
      <c r="L599" s="94"/>
      <c r="M599" s="93"/>
    </row>
    <row r="600" spans="1:13" x14ac:dyDescent="0.3">
      <c r="A600" s="93"/>
      <c r="B600" s="93"/>
      <c r="C600" s="93"/>
      <c r="D600" s="93"/>
      <c r="E600" s="93" t="s">
        <v>1140</v>
      </c>
      <c r="F600" s="93"/>
      <c r="G600" s="93"/>
      <c r="H600" s="93"/>
      <c r="I600" s="93"/>
      <c r="J600" s="93"/>
      <c r="K600" s="93"/>
      <c r="L600" s="93"/>
      <c r="M600" s="93"/>
    </row>
    <row r="601" spans="1:13" x14ac:dyDescent="0.3">
      <c r="A601" s="93"/>
      <c r="B601" s="93"/>
      <c r="C601" s="93"/>
      <c r="D601" s="93"/>
      <c r="E601" s="93" t="s">
        <v>1149</v>
      </c>
      <c r="F601" s="93"/>
      <c r="G601" s="93"/>
      <c r="H601" s="93"/>
      <c r="I601" s="93"/>
      <c r="J601" s="93"/>
      <c r="K601" s="93"/>
      <c r="L601" s="94"/>
      <c r="M601" s="93"/>
    </row>
    <row r="602" spans="1:13" x14ac:dyDescent="0.3">
      <c r="A602" s="93"/>
      <c r="B602" s="93"/>
      <c r="C602" s="93" t="s">
        <v>1150</v>
      </c>
      <c r="D602" s="93"/>
      <c r="E602" s="93"/>
      <c r="F602" s="93"/>
      <c r="G602" s="93"/>
      <c r="H602" s="93"/>
      <c r="I602" s="93"/>
      <c r="J602" s="93"/>
      <c r="K602" s="93"/>
      <c r="L602" s="94"/>
      <c r="M602" s="93"/>
    </row>
    <row r="603" spans="1:13" x14ac:dyDescent="0.3">
      <c r="A603" s="93"/>
      <c r="B603" s="93"/>
      <c r="C603" s="93"/>
      <c r="D603" s="93" t="s">
        <v>1151</v>
      </c>
      <c r="E603" s="93"/>
      <c r="F603" s="93"/>
      <c r="G603" s="93"/>
      <c r="H603" s="93"/>
      <c r="I603" s="93"/>
      <c r="J603" s="93"/>
      <c r="K603" s="93"/>
      <c r="L603" s="93"/>
      <c r="M603" s="93"/>
    </row>
    <row r="604" spans="1:13" x14ac:dyDescent="0.3">
      <c r="A604" s="93"/>
      <c r="B604" s="93"/>
      <c r="C604" s="93"/>
      <c r="D604" s="93" t="s">
        <v>1152</v>
      </c>
      <c r="E604" s="93"/>
      <c r="F604" s="93"/>
      <c r="G604" s="93"/>
      <c r="H604" s="93"/>
      <c r="I604" s="93"/>
      <c r="J604" s="93"/>
      <c r="K604" s="93"/>
      <c r="L604" s="93"/>
      <c r="M604" s="93"/>
    </row>
    <row r="605" spans="1:13" x14ac:dyDescent="0.3">
      <c r="A605" s="93"/>
      <c r="B605" s="93"/>
      <c r="C605" s="93"/>
      <c r="D605" s="93"/>
      <c r="E605" s="93" t="s">
        <v>1153</v>
      </c>
      <c r="F605" s="93"/>
      <c r="G605" s="93"/>
      <c r="H605" s="93"/>
      <c r="I605" s="93"/>
      <c r="J605" s="93"/>
      <c r="K605" s="93"/>
      <c r="L605" s="93"/>
      <c r="M605" s="93"/>
    </row>
    <row r="606" spans="1:13" x14ac:dyDescent="0.3">
      <c r="A606" s="93"/>
      <c r="B606" s="93"/>
      <c r="C606" s="93"/>
      <c r="D606" s="93"/>
      <c r="E606" s="93" t="s">
        <v>1154</v>
      </c>
      <c r="F606" s="93"/>
      <c r="G606" s="93"/>
      <c r="H606" s="93"/>
      <c r="I606" s="93"/>
      <c r="J606" s="93"/>
      <c r="K606" s="93"/>
      <c r="L606" s="93"/>
      <c r="M606" s="93"/>
    </row>
    <row r="607" spans="1:13" x14ac:dyDescent="0.3">
      <c r="A607" s="93"/>
      <c r="B607" s="93"/>
      <c r="C607" s="93"/>
      <c r="D607" s="93"/>
      <c r="E607" s="93" t="s">
        <v>1155</v>
      </c>
      <c r="F607" s="93"/>
      <c r="G607" s="93"/>
      <c r="H607" s="93"/>
      <c r="I607" s="93"/>
      <c r="J607" s="93"/>
      <c r="K607" s="93"/>
      <c r="L607" s="93"/>
      <c r="M607" s="93"/>
    </row>
    <row r="608" spans="1:13" x14ac:dyDescent="0.3">
      <c r="A608" s="93"/>
      <c r="B608" s="93"/>
      <c r="C608" s="93"/>
      <c r="D608" s="93"/>
      <c r="E608" s="93" t="s">
        <v>1156</v>
      </c>
      <c r="F608" s="93"/>
      <c r="G608" s="93"/>
      <c r="H608" s="93"/>
      <c r="I608" s="93"/>
      <c r="J608" s="93"/>
      <c r="K608" s="93"/>
      <c r="L608" s="93"/>
      <c r="M608" s="93"/>
    </row>
    <row r="609" spans="1:13" x14ac:dyDescent="0.3">
      <c r="A609" s="93"/>
      <c r="B609" s="93"/>
      <c r="C609" s="93"/>
      <c r="D609" s="93"/>
      <c r="E609" s="93" t="s">
        <v>1157</v>
      </c>
      <c r="F609" s="93"/>
      <c r="G609" s="93"/>
      <c r="H609" s="93"/>
      <c r="I609" s="93"/>
      <c r="J609" s="93"/>
      <c r="K609" s="93"/>
      <c r="L609" s="93"/>
      <c r="M609" s="93"/>
    </row>
    <row r="610" spans="1:13" x14ac:dyDescent="0.3">
      <c r="A610" s="93"/>
      <c r="B610" s="93"/>
      <c r="C610" s="93"/>
      <c r="D610" s="93"/>
      <c r="E610" s="93" t="s">
        <v>1158</v>
      </c>
      <c r="F610" s="93"/>
      <c r="G610" s="93"/>
      <c r="H610" s="93"/>
      <c r="I610" s="93"/>
      <c r="J610" s="93"/>
      <c r="K610" s="93"/>
      <c r="L610" s="93"/>
      <c r="M610" s="93"/>
    </row>
    <row r="611" spans="1:13" x14ac:dyDescent="0.3">
      <c r="A611" s="93"/>
      <c r="B611" s="93"/>
      <c r="C611" s="93"/>
      <c r="D611" s="93"/>
      <c r="E611" s="93" t="s">
        <v>1159</v>
      </c>
      <c r="F611" s="93"/>
      <c r="G611" s="93"/>
      <c r="H611" s="93"/>
      <c r="I611" s="93"/>
      <c r="J611" s="93"/>
      <c r="K611" s="93"/>
      <c r="L611" s="93"/>
      <c r="M611" s="93"/>
    </row>
    <row r="612" spans="1:13" x14ac:dyDescent="0.3">
      <c r="A612" s="93"/>
      <c r="B612" s="93"/>
      <c r="C612" s="93" t="s">
        <v>1160</v>
      </c>
      <c r="D612" s="93"/>
      <c r="E612" s="93"/>
      <c r="F612" s="93"/>
      <c r="G612" s="93"/>
      <c r="H612" s="93"/>
      <c r="I612" s="93"/>
      <c r="J612" s="93"/>
      <c r="K612" s="93"/>
      <c r="L612" s="93"/>
      <c r="M612" s="93"/>
    </row>
    <row r="613" spans="1:13" x14ac:dyDescent="0.3">
      <c r="A613" s="93"/>
      <c r="B613" s="94"/>
      <c r="C613" s="93"/>
      <c r="D613" s="93" t="s">
        <v>1161</v>
      </c>
      <c r="E613" s="93"/>
      <c r="F613" s="93"/>
      <c r="G613" s="93"/>
      <c r="H613" s="93"/>
      <c r="I613" s="93"/>
      <c r="J613" s="93"/>
      <c r="K613" s="93"/>
      <c r="L613" s="94"/>
      <c r="M613" s="93"/>
    </row>
    <row r="614" spans="1:13" x14ac:dyDescent="0.3">
      <c r="A614" s="93"/>
      <c r="B614" s="94"/>
      <c r="C614" s="93"/>
      <c r="D614" s="93" t="s">
        <v>1162</v>
      </c>
      <c r="E614" s="93"/>
      <c r="F614" s="93"/>
      <c r="G614" s="93"/>
      <c r="H614" s="93"/>
      <c r="I614" s="93"/>
      <c r="J614" s="93"/>
      <c r="K614" s="93"/>
      <c r="L614" s="93"/>
      <c r="M614" s="93"/>
    </row>
    <row r="615" spans="1:13" x14ac:dyDescent="0.3">
      <c r="A615" s="93"/>
      <c r="B615" s="93"/>
      <c r="C615" s="93"/>
      <c r="D615" s="93"/>
      <c r="E615" s="93" t="s">
        <v>1163</v>
      </c>
      <c r="F615" s="93"/>
      <c r="G615" s="93"/>
      <c r="H615" s="93"/>
      <c r="I615" s="93"/>
      <c r="J615" s="93"/>
      <c r="K615" s="93"/>
      <c r="L615" s="93"/>
      <c r="M615" s="93"/>
    </row>
    <row r="616" spans="1:13" x14ac:dyDescent="0.3">
      <c r="A616" s="93"/>
      <c r="B616" s="93"/>
      <c r="C616" s="93"/>
      <c r="D616" s="93"/>
      <c r="E616" s="93" t="s">
        <v>1164</v>
      </c>
      <c r="F616" s="93"/>
      <c r="G616" s="93"/>
      <c r="H616" s="93"/>
      <c r="I616" s="93"/>
      <c r="J616" s="93"/>
      <c r="K616" s="93"/>
      <c r="L616" s="93"/>
      <c r="M616" s="93"/>
    </row>
    <row r="617" spans="1:13" x14ac:dyDescent="0.3">
      <c r="A617" s="93"/>
      <c r="B617" s="93"/>
      <c r="C617" s="93"/>
      <c r="D617" s="93"/>
      <c r="E617" s="93" t="s">
        <v>1165</v>
      </c>
      <c r="F617" s="93"/>
      <c r="G617" s="93"/>
      <c r="H617" s="93"/>
      <c r="I617" s="93"/>
      <c r="J617" s="93"/>
      <c r="K617" s="93"/>
      <c r="L617" s="93"/>
      <c r="M617" s="93"/>
    </row>
    <row r="618" spans="1:13" x14ac:dyDescent="0.3">
      <c r="A618" s="93"/>
      <c r="B618" s="94"/>
      <c r="C618" s="93"/>
      <c r="D618" s="93"/>
      <c r="E618" s="93" t="s">
        <v>1166</v>
      </c>
      <c r="F618" s="93"/>
      <c r="G618" s="93"/>
      <c r="H618" s="93"/>
      <c r="I618" s="93"/>
      <c r="J618" s="93"/>
      <c r="K618" s="93"/>
      <c r="L618" s="93"/>
      <c r="M618" s="93"/>
    </row>
    <row r="619" spans="1:13" x14ac:dyDescent="0.3">
      <c r="A619" s="93"/>
      <c r="B619" s="93"/>
      <c r="C619" s="93"/>
      <c r="D619" s="93"/>
      <c r="E619" s="93" t="s">
        <v>1167</v>
      </c>
      <c r="F619" s="93"/>
      <c r="G619" s="93"/>
      <c r="H619" s="93"/>
      <c r="I619" s="93"/>
      <c r="J619" s="93"/>
      <c r="K619" s="93"/>
      <c r="L619" s="93"/>
      <c r="M619" s="93"/>
    </row>
    <row r="620" spans="1:13" x14ac:dyDescent="0.3">
      <c r="A620" s="93"/>
      <c r="B620" s="93"/>
      <c r="C620" s="93"/>
      <c r="D620" s="93"/>
      <c r="E620" s="93" t="s">
        <v>1168</v>
      </c>
      <c r="F620" s="93"/>
      <c r="G620" s="93"/>
      <c r="H620" s="93"/>
      <c r="I620" s="93"/>
      <c r="J620" s="93"/>
      <c r="K620" s="93"/>
      <c r="L620" s="93"/>
      <c r="M620" s="93"/>
    </row>
    <row r="621" spans="1:13" x14ac:dyDescent="0.3">
      <c r="A621" s="93"/>
      <c r="B621" s="93"/>
      <c r="C621" s="93"/>
      <c r="D621" s="93"/>
      <c r="E621" s="93" t="s">
        <v>1169</v>
      </c>
      <c r="F621" s="93"/>
      <c r="G621" s="93"/>
      <c r="H621" s="93"/>
      <c r="I621" s="93"/>
      <c r="J621" s="93"/>
      <c r="K621" s="93"/>
      <c r="L621" s="93"/>
      <c r="M621" s="93"/>
    </row>
    <row r="622" spans="1:13" x14ac:dyDescent="0.3">
      <c r="A622" s="93"/>
      <c r="B622" s="93"/>
      <c r="C622" s="93" t="s">
        <v>1170</v>
      </c>
      <c r="D622" s="93"/>
      <c r="E622" s="93"/>
      <c r="F622" s="93"/>
      <c r="G622" s="93"/>
      <c r="H622" s="93"/>
      <c r="I622" s="93"/>
      <c r="J622" s="93"/>
      <c r="K622" s="93"/>
      <c r="L622" s="93"/>
      <c r="M622" s="93"/>
    </row>
    <row r="623" spans="1:13" x14ac:dyDescent="0.3">
      <c r="A623" s="93"/>
      <c r="B623" s="93"/>
      <c r="C623" s="93"/>
      <c r="D623" s="93" t="s">
        <v>1171</v>
      </c>
      <c r="E623" s="93"/>
      <c r="F623" s="93"/>
      <c r="G623" s="93"/>
      <c r="H623" s="93"/>
      <c r="I623" s="93"/>
      <c r="J623" s="93"/>
      <c r="K623" s="93"/>
      <c r="L623" s="94"/>
      <c r="M623" s="93"/>
    </row>
    <row r="624" spans="1:13" x14ac:dyDescent="0.3">
      <c r="A624" s="93"/>
      <c r="B624" s="93"/>
      <c r="C624" s="93"/>
      <c r="D624" s="93" t="s">
        <v>1172</v>
      </c>
      <c r="E624" s="93"/>
      <c r="F624" s="93"/>
      <c r="G624" s="93"/>
      <c r="H624" s="93"/>
      <c r="I624" s="93"/>
      <c r="J624" s="93"/>
      <c r="K624" s="93"/>
      <c r="L624" s="93"/>
      <c r="M624" s="93"/>
    </row>
    <row r="625" spans="1:13" x14ac:dyDescent="0.3">
      <c r="A625" s="93"/>
      <c r="B625" s="94"/>
      <c r="C625" s="93"/>
      <c r="D625" s="93"/>
      <c r="E625" s="93" t="s">
        <v>1173</v>
      </c>
      <c r="F625" s="93"/>
      <c r="G625" s="93"/>
      <c r="H625" s="93"/>
      <c r="I625" s="93"/>
      <c r="J625" s="93"/>
      <c r="K625" s="93"/>
      <c r="L625" s="93"/>
      <c r="M625" s="93"/>
    </row>
    <row r="626" spans="1:13" x14ac:dyDescent="0.3">
      <c r="A626" s="93"/>
      <c r="B626" s="94"/>
      <c r="C626" s="93"/>
      <c r="D626" s="93"/>
      <c r="E626" s="93" t="s">
        <v>1174</v>
      </c>
      <c r="F626" s="93"/>
      <c r="G626" s="93"/>
      <c r="H626" s="93"/>
      <c r="I626" s="93"/>
      <c r="J626" s="93"/>
      <c r="K626" s="93"/>
      <c r="L626" s="93"/>
      <c r="M626" s="93"/>
    </row>
    <row r="627" spans="1:13" x14ac:dyDescent="0.3">
      <c r="A627" s="93"/>
      <c r="B627" s="93"/>
      <c r="C627" s="93"/>
      <c r="D627" s="93"/>
      <c r="E627" s="93" t="s">
        <v>1175</v>
      </c>
      <c r="F627" s="93"/>
      <c r="G627" s="93"/>
      <c r="H627" s="93"/>
      <c r="I627" s="93"/>
      <c r="J627" s="93"/>
      <c r="K627" s="93"/>
      <c r="L627" s="93"/>
      <c r="M627" s="93"/>
    </row>
    <row r="628" spans="1:13" x14ac:dyDescent="0.3">
      <c r="A628" s="93"/>
      <c r="B628" s="93"/>
      <c r="C628" s="93" t="s">
        <v>1176</v>
      </c>
      <c r="D628" s="93"/>
      <c r="E628" s="93"/>
      <c r="F628" s="93"/>
      <c r="G628" s="93"/>
      <c r="H628" s="93"/>
      <c r="I628" s="93"/>
      <c r="J628" s="93"/>
      <c r="K628" s="93"/>
      <c r="L628" s="93"/>
      <c r="M628" s="93"/>
    </row>
    <row r="629" spans="1:13" x14ac:dyDescent="0.3">
      <c r="A629" s="93"/>
      <c r="B629" s="94"/>
      <c r="C629" s="93"/>
      <c r="D629" s="93" t="s">
        <v>1177</v>
      </c>
      <c r="E629" s="93"/>
      <c r="F629" s="93"/>
      <c r="G629" s="93"/>
      <c r="H629" s="93"/>
      <c r="I629" s="93"/>
      <c r="J629" s="93"/>
      <c r="K629" s="93"/>
      <c r="L629" s="93"/>
      <c r="M629" s="93"/>
    </row>
    <row r="630" spans="1:13" x14ac:dyDescent="0.3">
      <c r="A630" s="93"/>
      <c r="B630" s="94"/>
      <c r="C630" s="93"/>
      <c r="D630" s="93" t="s">
        <v>1178</v>
      </c>
      <c r="E630" s="93"/>
      <c r="F630" s="93"/>
      <c r="G630" s="93"/>
      <c r="H630" s="93"/>
      <c r="I630" s="93"/>
      <c r="J630" s="93"/>
      <c r="K630" s="93"/>
      <c r="L630" s="93"/>
      <c r="M630" s="93"/>
    </row>
    <row r="631" spans="1:13" x14ac:dyDescent="0.3">
      <c r="A631" s="93"/>
      <c r="B631" s="94"/>
      <c r="C631" s="93"/>
      <c r="D631" s="93"/>
      <c r="E631" s="93" t="s">
        <v>1179</v>
      </c>
      <c r="F631" s="93"/>
      <c r="G631" s="93"/>
      <c r="H631" s="93"/>
      <c r="I631" s="93"/>
      <c r="J631" s="93"/>
      <c r="K631" s="93"/>
      <c r="L631" s="93"/>
      <c r="M631" s="93"/>
    </row>
    <row r="632" spans="1:13" x14ac:dyDescent="0.3">
      <c r="A632" s="93"/>
      <c r="B632" s="93"/>
      <c r="C632" s="93"/>
      <c r="D632" s="93" t="s">
        <v>1180</v>
      </c>
      <c r="E632" s="93"/>
      <c r="F632" s="93"/>
      <c r="G632" s="93"/>
      <c r="H632" s="93"/>
      <c r="I632" s="93"/>
      <c r="J632" s="93"/>
      <c r="K632" s="93"/>
      <c r="L632" s="93"/>
      <c r="M632" s="93"/>
    </row>
    <row r="633" spans="1:13" x14ac:dyDescent="0.3">
      <c r="A633" s="93"/>
      <c r="B633" s="94"/>
      <c r="C633" s="93"/>
      <c r="D633" s="93"/>
      <c r="E633" s="93" t="s">
        <v>1141</v>
      </c>
      <c r="F633" s="93"/>
      <c r="G633" s="93"/>
      <c r="H633" s="93"/>
      <c r="I633" s="93"/>
      <c r="J633" s="93"/>
      <c r="K633" s="93"/>
      <c r="L633" s="93"/>
      <c r="M633" s="93"/>
    </row>
    <row r="634" spans="1:13" x14ac:dyDescent="0.3">
      <c r="A634" s="93"/>
      <c r="B634" s="93"/>
      <c r="C634" s="93"/>
      <c r="D634" s="93"/>
      <c r="E634" s="93" t="s">
        <v>1140</v>
      </c>
      <c r="F634" s="93"/>
      <c r="G634" s="93"/>
      <c r="H634" s="93"/>
      <c r="I634" s="93"/>
      <c r="J634" s="93"/>
      <c r="K634" s="93"/>
      <c r="L634" s="93"/>
      <c r="M634" s="93"/>
    </row>
    <row r="635" spans="1:13" x14ac:dyDescent="0.3">
      <c r="A635" s="93"/>
      <c r="B635" s="94"/>
      <c r="C635" s="93"/>
      <c r="D635" s="93"/>
      <c r="E635" s="93" t="s">
        <v>1181</v>
      </c>
      <c r="F635" s="93"/>
      <c r="G635" s="93"/>
      <c r="H635" s="93"/>
      <c r="I635" s="93"/>
      <c r="J635" s="93"/>
      <c r="K635" s="93"/>
      <c r="L635" s="93"/>
      <c r="M635" s="93"/>
    </row>
    <row r="636" spans="1:13" x14ac:dyDescent="0.3">
      <c r="A636" s="93"/>
      <c r="B636" s="93"/>
      <c r="C636" s="93"/>
      <c r="D636" s="93"/>
      <c r="E636" s="93" t="s">
        <v>1182</v>
      </c>
      <c r="F636" s="93"/>
      <c r="G636" s="93"/>
      <c r="H636" s="93"/>
      <c r="I636" s="93"/>
      <c r="J636" s="93"/>
      <c r="K636" s="93"/>
      <c r="L636" s="93"/>
      <c r="M636" s="93"/>
    </row>
    <row r="637" spans="1:13" x14ac:dyDescent="0.3">
      <c r="A637" s="93"/>
      <c r="B637" s="93"/>
      <c r="C637" s="93"/>
      <c r="D637" s="93" t="s">
        <v>1183</v>
      </c>
      <c r="E637" s="93"/>
      <c r="F637" s="93"/>
      <c r="G637" s="93"/>
      <c r="H637" s="93"/>
      <c r="I637" s="93"/>
      <c r="J637" s="93"/>
      <c r="K637" s="93"/>
      <c r="L637" s="93"/>
      <c r="M637" s="93"/>
    </row>
    <row r="638" spans="1:13" x14ac:dyDescent="0.3">
      <c r="A638" s="93"/>
      <c r="B638" s="93" t="s">
        <v>1184</v>
      </c>
      <c r="C638" s="93"/>
      <c r="D638" s="93"/>
      <c r="E638" s="93"/>
      <c r="F638" s="93"/>
      <c r="G638" s="93"/>
      <c r="H638" s="93"/>
      <c r="I638" s="93"/>
      <c r="J638" s="93"/>
      <c r="K638" s="93"/>
      <c r="L638" s="94"/>
      <c r="M638" s="93"/>
    </row>
    <row r="639" spans="1:13" ht="14.5" x14ac:dyDescent="0.35">
      <c r="A639" s="93"/>
      <c r="B639"/>
      <c r="C639" s="93" t="s">
        <v>1185</v>
      </c>
      <c r="D639" s="93"/>
      <c r="E639" s="93"/>
      <c r="F639" s="93"/>
      <c r="G639" s="93"/>
      <c r="H639" s="93"/>
      <c r="I639" s="93"/>
      <c r="J639" s="93"/>
      <c r="K639" s="93"/>
      <c r="L639" s="93"/>
      <c r="M639" s="93"/>
    </row>
    <row r="640" spans="1:13" ht="14.5" x14ac:dyDescent="0.35">
      <c r="A640" s="93"/>
      <c r="B640" t="s">
        <v>1186</v>
      </c>
      <c r="C640" s="93" t="s">
        <v>1187</v>
      </c>
      <c r="D640" s="93"/>
      <c r="E640" s="93"/>
      <c r="F640" s="93"/>
      <c r="G640" s="93"/>
      <c r="H640" s="93"/>
      <c r="I640" s="93"/>
      <c r="J640" s="93"/>
      <c r="K640" s="93"/>
      <c r="L640" s="93"/>
      <c r="M640" s="93"/>
    </row>
    <row r="641" spans="1:13" x14ac:dyDescent="0.3">
      <c r="A641" s="93"/>
      <c r="B641" s="93"/>
      <c r="C641" s="93" t="s">
        <v>1188</v>
      </c>
      <c r="D641" s="93"/>
      <c r="E641" s="93"/>
      <c r="F641" s="93"/>
      <c r="G641" s="93"/>
      <c r="H641" s="93"/>
      <c r="I641" s="93"/>
      <c r="J641" s="93"/>
      <c r="K641" s="93"/>
      <c r="L641" s="93"/>
      <c r="M641" s="93"/>
    </row>
    <row r="642" spans="1:13" x14ac:dyDescent="0.3">
      <c r="A642" s="93"/>
      <c r="B642" s="93" t="s">
        <v>1186</v>
      </c>
      <c r="C642" s="93" t="s">
        <v>1189</v>
      </c>
      <c r="D642" s="93"/>
      <c r="E642" s="93"/>
      <c r="F642" s="93"/>
      <c r="G642" s="93"/>
      <c r="H642" s="93"/>
      <c r="I642" s="93"/>
      <c r="J642" s="93"/>
      <c r="K642" s="93"/>
      <c r="L642" s="93"/>
      <c r="M642" s="93"/>
    </row>
    <row r="643" spans="1:13" x14ac:dyDescent="0.3">
      <c r="A643" s="93"/>
      <c r="B643" s="93"/>
      <c r="C643" s="93" t="s">
        <v>1190</v>
      </c>
      <c r="D643" s="93"/>
      <c r="E643" s="93"/>
      <c r="F643" s="93"/>
      <c r="G643" s="93"/>
      <c r="H643" s="93"/>
      <c r="I643" s="93"/>
      <c r="J643" s="93"/>
      <c r="K643" s="93"/>
      <c r="L643" s="93"/>
      <c r="M643" s="93"/>
    </row>
    <row r="644" spans="1:13" x14ac:dyDescent="0.3">
      <c r="A644" s="93"/>
      <c r="B644" s="93"/>
      <c r="C644" s="93" t="s">
        <v>1191</v>
      </c>
      <c r="D644" s="93"/>
      <c r="E644" s="93"/>
      <c r="F644" s="93"/>
      <c r="G644" s="93"/>
      <c r="H644" s="93"/>
      <c r="I644" s="93"/>
      <c r="J644" s="93"/>
      <c r="K644" s="93"/>
      <c r="L644" s="93"/>
      <c r="M644" s="93"/>
    </row>
    <row r="645" spans="1:13" x14ac:dyDescent="0.3">
      <c r="A645" s="93"/>
      <c r="B645" s="93"/>
      <c r="C645" s="93" t="s">
        <v>1192</v>
      </c>
      <c r="D645" s="93"/>
      <c r="E645" s="93"/>
      <c r="F645" s="93"/>
      <c r="G645" s="93"/>
      <c r="H645" s="93"/>
      <c r="I645" s="93"/>
      <c r="J645" s="93"/>
      <c r="K645" s="93"/>
      <c r="L645" s="93"/>
      <c r="M645" s="93"/>
    </row>
    <row r="646" spans="1:13" x14ac:dyDescent="0.3">
      <c r="A646" s="93"/>
      <c r="B646" s="93"/>
      <c r="C646" s="93" t="s">
        <v>1193</v>
      </c>
      <c r="D646" s="93"/>
      <c r="E646" s="93"/>
      <c r="F646" s="93"/>
      <c r="G646" s="93"/>
      <c r="H646" s="93"/>
      <c r="I646" s="93"/>
      <c r="J646" s="93"/>
      <c r="K646" s="93"/>
      <c r="L646" s="93"/>
      <c r="M646" s="93"/>
    </row>
    <row r="647" spans="1:13" x14ac:dyDescent="0.3">
      <c r="A647" s="93"/>
      <c r="B647" s="93"/>
      <c r="C647" s="93" t="s">
        <v>1194</v>
      </c>
      <c r="D647" s="93"/>
      <c r="E647" s="93"/>
      <c r="F647" s="93"/>
      <c r="G647" s="93"/>
      <c r="H647" s="93"/>
      <c r="I647" s="93"/>
      <c r="J647" s="93"/>
      <c r="K647" s="93"/>
      <c r="L647" s="93"/>
      <c r="M647" s="93"/>
    </row>
    <row r="648" spans="1:13" x14ac:dyDescent="0.3">
      <c r="A648" s="93"/>
      <c r="B648" s="93"/>
      <c r="C648" s="93" t="s">
        <v>1195</v>
      </c>
      <c r="D648" s="93"/>
      <c r="E648" s="93"/>
      <c r="F648" s="93"/>
      <c r="G648" s="93"/>
      <c r="H648" s="93"/>
      <c r="I648" s="93"/>
      <c r="J648" s="93"/>
      <c r="K648" s="93"/>
      <c r="L648" s="93"/>
      <c r="M648" s="93"/>
    </row>
    <row r="649" spans="1:13" x14ac:dyDescent="0.3">
      <c r="A649" s="93"/>
      <c r="B649" s="93"/>
      <c r="C649" s="93" t="s">
        <v>1196</v>
      </c>
      <c r="D649" s="93"/>
      <c r="E649" s="93"/>
      <c r="F649" s="93"/>
      <c r="G649" s="93"/>
      <c r="H649" s="93"/>
      <c r="I649" s="93"/>
      <c r="J649" s="93"/>
      <c r="K649" s="93"/>
      <c r="L649" s="93"/>
      <c r="M649" s="93"/>
    </row>
    <row r="650" spans="1:13" x14ac:dyDescent="0.3">
      <c r="A650" s="93"/>
      <c r="B650" s="93"/>
      <c r="C650" s="93" t="s">
        <v>1197</v>
      </c>
      <c r="D650" s="93"/>
      <c r="E650" s="93"/>
      <c r="F650" s="93"/>
      <c r="G650" s="93"/>
      <c r="H650" s="93"/>
      <c r="I650" s="93"/>
      <c r="J650" s="93"/>
      <c r="K650" s="93"/>
      <c r="L650" s="94"/>
      <c r="M650" s="93"/>
    </row>
    <row r="651" spans="1:13" x14ac:dyDescent="0.3">
      <c r="A651" s="93"/>
      <c r="B651" s="93" t="s">
        <v>1198</v>
      </c>
      <c r="C651" s="93"/>
      <c r="D651" s="93"/>
      <c r="E651" s="93"/>
      <c r="F651" s="93"/>
      <c r="G651" s="93"/>
      <c r="H651" s="93"/>
      <c r="I651" s="93"/>
      <c r="J651" s="93"/>
      <c r="K651" s="93"/>
      <c r="L651" s="93"/>
      <c r="M651" s="93"/>
    </row>
    <row r="652" spans="1:13" x14ac:dyDescent="0.3">
      <c r="A652" s="93"/>
      <c r="B652" s="93"/>
      <c r="C652" s="93" t="s">
        <v>1199</v>
      </c>
      <c r="D652" s="93"/>
      <c r="E652" s="93"/>
      <c r="F652" s="93"/>
      <c r="G652" s="93"/>
      <c r="H652" s="93"/>
      <c r="I652" s="93"/>
      <c r="J652" s="93"/>
      <c r="K652" s="93"/>
      <c r="L652" s="93"/>
      <c r="M652" s="93"/>
    </row>
    <row r="653" spans="1:13" x14ac:dyDescent="0.3">
      <c r="A653" s="93"/>
      <c r="B653" s="93"/>
      <c r="C653" s="93"/>
      <c r="D653" s="95" t="s">
        <v>1200</v>
      </c>
      <c r="E653" s="93"/>
      <c r="F653" s="93"/>
      <c r="G653" s="93"/>
      <c r="H653" s="93"/>
      <c r="I653" s="93"/>
      <c r="J653" s="93"/>
      <c r="K653" s="93"/>
      <c r="L653" s="93"/>
      <c r="M653" s="93"/>
    </row>
    <row r="654" spans="1:13" x14ac:dyDescent="0.3">
      <c r="A654" s="93"/>
      <c r="B654" s="93"/>
      <c r="C654" s="93"/>
      <c r="D654" s="95" t="s">
        <v>1201</v>
      </c>
      <c r="E654" s="93"/>
      <c r="F654" s="93"/>
      <c r="G654" s="93"/>
      <c r="H654" s="93"/>
      <c r="I654" s="93"/>
      <c r="J654" s="93"/>
      <c r="K654" s="93"/>
      <c r="L654" s="93"/>
      <c r="M654" s="93"/>
    </row>
    <row r="655" spans="1:13" x14ac:dyDescent="0.3">
      <c r="A655" s="93"/>
      <c r="B655" s="93"/>
      <c r="C655" s="93" t="s">
        <v>1202</v>
      </c>
      <c r="D655" s="93"/>
      <c r="E655" s="93"/>
      <c r="F655" s="93"/>
      <c r="G655" s="93"/>
      <c r="H655" s="93"/>
      <c r="I655" s="93"/>
      <c r="J655" s="93"/>
      <c r="K655" s="93"/>
      <c r="L655" s="93"/>
      <c r="M655" s="93"/>
    </row>
    <row r="656" spans="1:13" x14ac:dyDescent="0.3">
      <c r="A656" s="93"/>
      <c r="B656" s="93"/>
      <c r="C656" s="93"/>
      <c r="D656" s="93" t="s">
        <v>1203</v>
      </c>
      <c r="E656" s="93"/>
      <c r="F656" s="93"/>
      <c r="G656" s="93"/>
      <c r="H656" s="93"/>
      <c r="I656" s="93"/>
      <c r="J656" s="93"/>
      <c r="K656" s="93"/>
      <c r="L656" s="93"/>
      <c r="M656" s="93"/>
    </row>
    <row r="657" spans="1:13" x14ac:dyDescent="0.3">
      <c r="A657" s="93"/>
      <c r="B657" s="93"/>
      <c r="C657" s="93"/>
      <c r="D657" s="93" t="s">
        <v>1204</v>
      </c>
      <c r="E657" s="93"/>
      <c r="F657" s="93"/>
      <c r="G657" s="93"/>
      <c r="H657" s="93"/>
      <c r="I657" s="93"/>
      <c r="J657" s="93"/>
      <c r="K657" s="93"/>
      <c r="L657" s="93"/>
      <c r="M657" s="93"/>
    </row>
    <row r="658" spans="1:13" x14ac:dyDescent="0.3">
      <c r="A658" s="93"/>
      <c r="B658" s="93"/>
      <c r="C658" s="93"/>
      <c r="D658" s="93" t="s">
        <v>1205</v>
      </c>
      <c r="E658" s="93"/>
      <c r="F658" s="93"/>
      <c r="G658" s="93"/>
      <c r="H658" s="93"/>
      <c r="I658" s="93"/>
      <c r="J658" s="93"/>
      <c r="K658" s="93"/>
      <c r="L658" s="93"/>
      <c r="M658" s="93"/>
    </row>
    <row r="659" spans="1:13" x14ac:dyDescent="0.3">
      <c r="A659" s="93"/>
      <c r="B659" s="93"/>
      <c r="C659" s="93"/>
      <c r="D659" s="93"/>
      <c r="E659" s="93" t="s">
        <v>1206</v>
      </c>
      <c r="F659" s="93"/>
      <c r="G659" s="93"/>
      <c r="H659" s="93"/>
      <c r="I659" s="93"/>
      <c r="J659" s="93"/>
      <c r="K659" s="93"/>
      <c r="L659" s="93"/>
      <c r="M659" s="93"/>
    </row>
    <row r="660" spans="1:13" x14ac:dyDescent="0.3">
      <c r="A660" s="93"/>
      <c r="B660" s="93"/>
      <c r="C660" s="93"/>
      <c r="D660" s="93"/>
      <c r="E660" s="93" t="s">
        <v>1207</v>
      </c>
      <c r="F660" s="93"/>
      <c r="G660" s="93"/>
      <c r="H660" s="93"/>
      <c r="I660" s="93"/>
      <c r="J660" s="93"/>
      <c r="K660" s="93"/>
      <c r="L660" s="93"/>
      <c r="M660" s="93"/>
    </row>
    <row r="661" spans="1:13" x14ac:dyDescent="0.3">
      <c r="A661" s="93"/>
      <c r="B661" s="93"/>
      <c r="C661" s="93"/>
      <c r="D661" s="93" t="s">
        <v>1208</v>
      </c>
      <c r="E661" s="93"/>
      <c r="F661" s="93"/>
      <c r="G661" s="93"/>
      <c r="H661" s="93"/>
      <c r="I661" s="93"/>
      <c r="J661" s="93"/>
      <c r="K661" s="93"/>
      <c r="L661" s="94"/>
      <c r="M661" s="93"/>
    </row>
    <row r="662" spans="1:13" x14ac:dyDescent="0.3">
      <c r="A662" s="93"/>
      <c r="B662" s="93"/>
      <c r="C662" s="93" t="s">
        <v>1209</v>
      </c>
      <c r="D662" s="93"/>
      <c r="E662" s="93"/>
      <c r="F662" s="93"/>
      <c r="G662" s="93"/>
      <c r="H662" s="93"/>
      <c r="I662" s="93"/>
      <c r="J662" s="93"/>
      <c r="K662" s="93"/>
      <c r="L662" s="93"/>
      <c r="M662" s="93"/>
    </row>
    <row r="663" spans="1:13" x14ac:dyDescent="0.3">
      <c r="A663" s="93"/>
      <c r="B663" s="93"/>
      <c r="C663" s="93"/>
      <c r="D663" s="93" t="s">
        <v>1210</v>
      </c>
      <c r="E663" s="93"/>
      <c r="F663" s="93"/>
      <c r="G663" s="93"/>
      <c r="H663" s="93"/>
      <c r="I663" s="93"/>
      <c r="J663" s="93"/>
      <c r="K663" s="93"/>
      <c r="L663" s="93"/>
      <c r="M663" s="93"/>
    </row>
    <row r="664" spans="1:13" x14ac:dyDescent="0.3">
      <c r="A664" s="93"/>
      <c r="B664" s="93"/>
      <c r="C664" s="93"/>
      <c r="D664" s="93" t="s">
        <v>1186</v>
      </c>
      <c r="E664" s="93" t="s">
        <v>1211</v>
      </c>
      <c r="F664" s="93"/>
      <c r="G664" s="93"/>
      <c r="H664" s="93"/>
      <c r="I664" s="93"/>
      <c r="J664" s="93"/>
      <c r="K664" s="93"/>
      <c r="L664" s="93"/>
      <c r="M664" s="93"/>
    </row>
    <row r="665" spans="1:13" x14ac:dyDescent="0.3">
      <c r="A665" s="93"/>
      <c r="B665" s="93"/>
      <c r="C665" s="93"/>
      <c r="D665" s="93"/>
      <c r="E665" s="93" t="s">
        <v>1212</v>
      </c>
      <c r="F665" s="93"/>
      <c r="G665" s="93"/>
      <c r="H665" s="93"/>
      <c r="I665" s="93"/>
      <c r="J665" s="93"/>
      <c r="K665" s="93"/>
      <c r="L665" s="93"/>
      <c r="M665" s="93"/>
    </row>
    <row r="666" spans="1:13" x14ac:dyDescent="0.3">
      <c r="A666" s="93"/>
      <c r="B666" s="93"/>
      <c r="C666" s="93"/>
      <c r="D666" s="93"/>
      <c r="E666" s="93" t="s">
        <v>1213</v>
      </c>
      <c r="F666" s="93"/>
      <c r="G666" s="93"/>
      <c r="H666" s="93"/>
      <c r="I666" s="93"/>
      <c r="J666" s="93"/>
      <c r="K666" s="93"/>
      <c r="L666" s="93"/>
      <c r="M666" s="93"/>
    </row>
    <row r="667" spans="1:13" x14ac:dyDescent="0.3">
      <c r="A667" s="93"/>
      <c r="B667" s="93" t="s">
        <v>1214</v>
      </c>
      <c r="C667" s="93"/>
      <c r="D667" s="93"/>
      <c r="E667" s="93"/>
      <c r="F667" s="93"/>
      <c r="G667" s="93"/>
      <c r="H667" s="93"/>
      <c r="I667" s="93"/>
      <c r="J667" s="93"/>
      <c r="K667" s="93"/>
      <c r="L667" s="93"/>
      <c r="M667" s="93"/>
    </row>
    <row r="668" spans="1:13" x14ac:dyDescent="0.3">
      <c r="A668" s="93"/>
      <c r="B668" s="93" t="s">
        <v>1186</v>
      </c>
      <c r="C668" s="93" t="s">
        <v>1215</v>
      </c>
      <c r="D668" s="93"/>
      <c r="E668" s="93"/>
      <c r="F668" s="93"/>
      <c r="G668" s="93"/>
      <c r="H668" s="93"/>
      <c r="I668" s="93"/>
      <c r="J668" s="93"/>
      <c r="K668" s="93"/>
      <c r="L668" s="93"/>
      <c r="M668" s="93"/>
    </row>
    <row r="669" spans="1:13" x14ac:dyDescent="0.3">
      <c r="A669" s="93"/>
      <c r="B669" s="93"/>
      <c r="C669" s="93" t="s">
        <v>1216</v>
      </c>
      <c r="D669" s="93"/>
      <c r="E669" s="93"/>
      <c r="F669" s="93"/>
      <c r="G669" s="93"/>
      <c r="H669" s="93"/>
      <c r="I669" s="93"/>
      <c r="J669" s="93"/>
      <c r="K669" s="93"/>
      <c r="L669" s="93"/>
      <c r="M669" s="93"/>
    </row>
    <row r="670" spans="1:13" x14ac:dyDescent="0.3">
      <c r="A670" s="93"/>
      <c r="B670" s="93"/>
      <c r="C670" s="93"/>
      <c r="D670" s="93" t="s">
        <v>1217</v>
      </c>
      <c r="E670" s="93"/>
      <c r="F670" s="93"/>
      <c r="G670" s="93"/>
      <c r="H670" s="93"/>
      <c r="I670" s="93"/>
      <c r="J670" s="93"/>
      <c r="K670" s="93"/>
      <c r="L670" s="93"/>
      <c r="M670" s="93"/>
    </row>
    <row r="671" spans="1:13" x14ac:dyDescent="0.3">
      <c r="A671" s="93"/>
      <c r="B671" s="93"/>
      <c r="C671" s="93"/>
      <c r="D671" s="93" t="s">
        <v>1218</v>
      </c>
      <c r="E671" s="93"/>
      <c r="F671" s="93"/>
      <c r="G671" s="93"/>
      <c r="H671" s="93"/>
      <c r="I671" s="93"/>
      <c r="J671" s="93"/>
      <c r="K671" s="93"/>
      <c r="L671" s="93"/>
      <c r="M671" s="93"/>
    </row>
    <row r="672" spans="1:13" x14ac:dyDescent="0.3">
      <c r="A672" s="93"/>
      <c r="B672" s="93"/>
      <c r="C672" s="93"/>
      <c r="D672" s="93" t="s">
        <v>1219</v>
      </c>
      <c r="E672" s="93"/>
      <c r="F672" s="93"/>
      <c r="G672" s="93"/>
      <c r="H672" s="93"/>
      <c r="I672" s="93"/>
      <c r="J672" s="93"/>
      <c r="K672" s="93"/>
      <c r="L672" s="93"/>
      <c r="M672" s="93"/>
    </row>
    <row r="673" spans="1:13" x14ac:dyDescent="0.3">
      <c r="A673" s="93"/>
      <c r="B673" s="93"/>
      <c r="C673" s="93"/>
      <c r="D673" s="93" t="s">
        <v>1220</v>
      </c>
      <c r="E673" s="93"/>
      <c r="F673" s="93"/>
      <c r="G673" s="93"/>
      <c r="H673" s="93"/>
      <c r="I673" s="93"/>
      <c r="J673" s="93"/>
      <c r="K673" s="93"/>
      <c r="L673" s="94"/>
      <c r="M673" s="93"/>
    </row>
    <row r="674" spans="1:13" x14ac:dyDescent="0.3">
      <c r="A674" s="93"/>
      <c r="B674" s="61" t="s">
        <v>1221</v>
      </c>
      <c r="C674" s="98"/>
      <c r="D674" s="98"/>
      <c r="E674" s="93"/>
      <c r="F674" s="93"/>
      <c r="G674" s="93"/>
      <c r="H674" s="93"/>
      <c r="I674" s="93"/>
      <c r="J674" s="93"/>
      <c r="K674" s="93"/>
      <c r="L674" s="94"/>
      <c r="M674" s="93"/>
    </row>
    <row r="675" spans="1:13" x14ac:dyDescent="0.3">
      <c r="A675" s="93"/>
      <c r="C675" s="61" t="s">
        <v>1222</v>
      </c>
      <c r="D675" s="93"/>
      <c r="E675" s="93"/>
      <c r="F675" s="93"/>
      <c r="G675" s="93"/>
      <c r="H675" s="93"/>
      <c r="I675" s="93"/>
      <c r="J675" s="93"/>
      <c r="K675" s="93"/>
      <c r="L675" s="93"/>
      <c r="M675" s="93"/>
    </row>
    <row r="676" spans="1:13" x14ac:dyDescent="0.3">
      <c r="A676" s="93"/>
      <c r="C676" s="61" t="s">
        <v>1223</v>
      </c>
      <c r="D676" s="93"/>
      <c r="E676" s="93"/>
      <c r="F676" s="93"/>
      <c r="G676" s="93"/>
      <c r="H676" s="93"/>
      <c r="I676" s="93"/>
      <c r="J676" s="93"/>
      <c r="K676" s="93"/>
      <c r="L676" s="93"/>
      <c r="M676" s="93"/>
    </row>
    <row r="677" spans="1:13" x14ac:dyDescent="0.3">
      <c r="A677" s="93"/>
      <c r="C677" s="61" t="s">
        <v>1224</v>
      </c>
      <c r="D677" s="93"/>
      <c r="E677" s="93"/>
      <c r="F677" s="93"/>
      <c r="G677" s="93"/>
      <c r="H677" s="93"/>
      <c r="I677" s="93"/>
      <c r="J677" s="93"/>
      <c r="K677" s="93"/>
      <c r="L677" s="93"/>
      <c r="M677" s="93"/>
    </row>
    <row r="678" spans="1:13" x14ac:dyDescent="0.3">
      <c r="A678" s="93"/>
      <c r="C678" s="93"/>
      <c r="D678" s="61" t="s">
        <v>1225</v>
      </c>
      <c r="E678" s="93"/>
      <c r="F678" s="93"/>
      <c r="G678" s="93"/>
      <c r="H678" s="93"/>
      <c r="I678" s="93"/>
      <c r="J678" s="93"/>
      <c r="K678" s="93"/>
      <c r="L678" s="93"/>
      <c r="M678" s="93"/>
    </row>
    <row r="679" spans="1:13" x14ac:dyDescent="0.3">
      <c r="A679" s="93"/>
      <c r="C679" s="93"/>
      <c r="D679" s="61" t="s">
        <v>1226</v>
      </c>
      <c r="E679" s="93"/>
      <c r="F679" s="93"/>
      <c r="G679" s="93"/>
      <c r="H679" s="93"/>
      <c r="I679" s="93"/>
      <c r="J679" s="93"/>
      <c r="K679" s="93"/>
      <c r="L679" s="93"/>
      <c r="M679" s="93"/>
    </row>
    <row r="680" spans="1:13" x14ac:dyDescent="0.3">
      <c r="A680" s="93"/>
      <c r="C680" s="61" t="s">
        <v>1227</v>
      </c>
      <c r="D680" s="93"/>
      <c r="E680" s="93"/>
      <c r="F680" s="93"/>
      <c r="G680" s="93"/>
      <c r="H680" s="93"/>
      <c r="I680" s="93"/>
      <c r="J680" s="93"/>
      <c r="K680" s="93"/>
      <c r="L680" s="93"/>
      <c r="M680" s="93"/>
    </row>
    <row r="681" spans="1:13" x14ac:dyDescent="0.3">
      <c r="A681" s="93"/>
      <c r="C681" s="93"/>
      <c r="D681" s="61" t="s">
        <v>1228</v>
      </c>
      <c r="E681" s="93"/>
      <c r="F681" s="93"/>
      <c r="G681" s="93"/>
      <c r="H681" s="93"/>
      <c r="I681" s="93"/>
      <c r="J681" s="93"/>
      <c r="K681" s="93"/>
      <c r="L681" s="94"/>
      <c r="M681" s="93"/>
    </row>
    <row r="682" spans="1:13" x14ac:dyDescent="0.3">
      <c r="A682" s="93"/>
      <c r="C682" s="93"/>
      <c r="D682" s="61" t="s">
        <v>1229</v>
      </c>
      <c r="E682" s="93"/>
      <c r="F682" s="93"/>
      <c r="G682" s="93"/>
      <c r="H682" s="93"/>
      <c r="I682" s="93"/>
      <c r="J682" s="93"/>
      <c r="K682" s="93"/>
      <c r="L682" s="94"/>
      <c r="M682" s="93"/>
    </row>
    <row r="683" spans="1:13" x14ac:dyDescent="0.3">
      <c r="A683" s="93"/>
      <c r="C683" s="93"/>
      <c r="D683" s="61" t="s">
        <v>1230</v>
      </c>
      <c r="E683" s="93"/>
      <c r="F683" s="93"/>
      <c r="G683" s="93"/>
      <c r="H683" s="93"/>
      <c r="I683" s="93"/>
      <c r="J683" s="93"/>
      <c r="K683" s="93"/>
      <c r="L683" s="94"/>
      <c r="M683" s="93"/>
    </row>
    <row r="684" spans="1:13" x14ac:dyDescent="0.3">
      <c r="D684" s="61" t="s">
        <v>1231</v>
      </c>
    </row>
    <row r="685" spans="1:13" x14ac:dyDescent="0.3">
      <c r="C685" s="61" t="s">
        <v>1232</v>
      </c>
    </row>
    <row r="686" spans="1:13" x14ac:dyDescent="0.3">
      <c r="C686" s="61" t="s">
        <v>1233</v>
      </c>
    </row>
    <row r="687" spans="1:13" x14ac:dyDescent="0.3">
      <c r="C687" s="61" t="s">
        <v>1234</v>
      </c>
    </row>
    <row r="688" spans="1:13" x14ac:dyDescent="0.3">
      <c r="C688" s="61" t="s">
        <v>1235</v>
      </c>
    </row>
    <row r="689" spans="1:11" x14ac:dyDescent="0.3">
      <c r="C689" s="61" t="s">
        <v>1236</v>
      </c>
    </row>
    <row r="691" spans="1:11" x14ac:dyDescent="0.3">
      <c r="B691" s="93" t="s">
        <v>1237</v>
      </c>
      <c r="C691" s="93"/>
      <c r="D691" s="93"/>
      <c r="E691" s="93"/>
      <c r="F691" s="93"/>
      <c r="G691" s="93"/>
      <c r="H691" s="93"/>
      <c r="I691" s="93"/>
      <c r="J691" s="93"/>
      <c r="K691" s="93"/>
    </row>
    <row r="692" spans="1:11" x14ac:dyDescent="0.3">
      <c r="B692" s="93"/>
      <c r="C692" s="93" t="s">
        <v>1238</v>
      </c>
      <c r="D692" s="93"/>
      <c r="E692" s="93"/>
      <c r="F692" s="93"/>
      <c r="G692" s="93"/>
      <c r="H692" s="93"/>
      <c r="I692" s="93"/>
      <c r="J692" s="93"/>
      <c r="K692" s="93"/>
    </row>
    <row r="693" spans="1:11" x14ac:dyDescent="0.3">
      <c r="B693" s="93"/>
      <c r="C693" s="93" t="s">
        <v>1239</v>
      </c>
      <c r="D693" s="93"/>
      <c r="E693" s="93"/>
      <c r="F693" s="93"/>
      <c r="G693" s="93"/>
      <c r="H693" s="93"/>
      <c r="I693" s="93"/>
      <c r="J693" s="93"/>
      <c r="K693" s="93"/>
    </row>
    <row r="694" spans="1:11" x14ac:dyDescent="0.3">
      <c r="B694" s="93"/>
      <c r="C694" s="93" t="s">
        <v>1240</v>
      </c>
      <c r="D694" s="93"/>
      <c r="E694" s="93"/>
      <c r="F694" s="93"/>
      <c r="G694" s="93"/>
      <c r="H694" s="93"/>
      <c r="I694" s="93"/>
      <c r="J694" s="93"/>
      <c r="K694" s="93"/>
    </row>
    <row r="695" spans="1:11" x14ac:dyDescent="0.3">
      <c r="B695" s="93"/>
      <c r="C695" s="93" t="s">
        <v>1241</v>
      </c>
      <c r="D695" s="93"/>
      <c r="E695" s="93"/>
      <c r="F695" s="93"/>
      <c r="G695" s="93"/>
      <c r="H695" s="93"/>
      <c r="I695" s="93"/>
      <c r="J695" s="93"/>
      <c r="K695" s="93"/>
    </row>
    <row r="696" spans="1:11" x14ac:dyDescent="0.3">
      <c r="B696" s="93"/>
      <c r="C696" s="93" t="s">
        <v>1242</v>
      </c>
      <c r="D696" s="93"/>
      <c r="E696" s="93"/>
      <c r="F696" s="93"/>
      <c r="G696" s="93"/>
      <c r="H696" s="93"/>
      <c r="I696" s="93"/>
      <c r="J696" s="93"/>
      <c r="K696" s="93"/>
    </row>
    <row r="697" spans="1:11" x14ac:dyDescent="0.3">
      <c r="B697" s="93"/>
      <c r="C697" s="93"/>
      <c r="D697" s="93"/>
      <c r="E697" s="93"/>
      <c r="F697" s="93"/>
      <c r="G697" s="93"/>
      <c r="H697" s="93"/>
      <c r="I697" s="93"/>
      <c r="J697" s="93"/>
      <c r="K697" s="93"/>
    </row>
    <row r="698" spans="1:11" ht="14.5" x14ac:dyDescent="0.35">
      <c r="A698" s="81" t="s">
        <v>1243</v>
      </c>
      <c r="B698" s="60"/>
      <c r="C698"/>
      <c r="D698"/>
      <c r="E698"/>
      <c r="F698"/>
      <c r="G698"/>
      <c r="H698"/>
      <c r="I698"/>
      <c r="J698"/>
      <c r="K698"/>
    </row>
    <row r="700" spans="1:11" x14ac:dyDescent="0.3">
      <c r="B700" s="93" t="s">
        <v>1244</v>
      </c>
      <c r="C700" s="93"/>
      <c r="D700" s="93"/>
      <c r="E700" s="93"/>
      <c r="F700" s="93"/>
      <c r="G700" s="93"/>
      <c r="H700" s="93"/>
      <c r="I700" s="93"/>
    </row>
    <row r="701" spans="1:11" x14ac:dyDescent="0.3">
      <c r="B701" s="93"/>
      <c r="C701" s="93" t="s">
        <v>1078</v>
      </c>
      <c r="D701" s="93"/>
      <c r="E701" s="93"/>
      <c r="F701" s="93"/>
      <c r="G701" s="93"/>
      <c r="H701" s="93"/>
      <c r="I701" s="93"/>
    </row>
    <row r="702" spans="1:11" x14ac:dyDescent="0.3">
      <c r="B702" s="93"/>
      <c r="C702" s="93"/>
      <c r="D702" s="93" t="s">
        <v>1079</v>
      </c>
      <c r="E702" s="93"/>
      <c r="F702" s="93"/>
      <c r="G702" s="93"/>
      <c r="H702" s="93"/>
      <c r="I702" s="93"/>
    </row>
    <row r="703" spans="1:11" x14ac:dyDescent="0.3">
      <c r="B703" s="93"/>
      <c r="C703" s="93" t="s">
        <v>1080</v>
      </c>
      <c r="D703" s="93"/>
      <c r="E703" s="93"/>
      <c r="F703" s="93"/>
      <c r="G703" s="93"/>
      <c r="H703" s="93"/>
      <c r="I703" s="93"/>
    </row>
    <row r="704" spans="1:11" x14ac:dyDescent="0.3">
      <c r="B704" s="93"/>
      <c r="C704" s="93"/>
      <c r="D704" s="93" t="s">
        <v>1081</v>
      </c>
      <c r="E704" s="93"/>
      <c r="F704" s="93"/>
      <c r="G704" s="93"/>
      <c r="H704" s="93"/>
      <c r="I704" s="93"/>
    </row>
    <row r="705" spans="2:9" x14ac:dyDescent="0.3">
      <c r="B705" s="93" t="s">
        <v>1245</v>
      </c>
      <c r="C705" s="93"/>
      <c r="D705" s="93"/>
      <c r="E705" s="93"/>
      <c r="F705" s="93"/>
      <c r="G705" s="93"/>
      <c r="H705" s="93"/>
      <c r="I705" s="93"/>
    </row>
    <row r="706" spans="2:9" x14ac:dyDescent="0.3">
      <c r="B706" s="93"/>
      <c r="C706" s="98" t="s">
        <v>1085</v>
      </c>
      <c r="D706" s="98"/>
      <c r="E706" s="98"/>
      <c r="F706" s="93"/>
      <c r="G706" s="93"/>
      <c r="H706" s="93"/>
      <c r="I706" s="93"/>
    </row>
    <row r="707" spans="2:9" x14ac:dyDescent="0.3">
      <c r="B707" s="93"/>
      <c r="C707" s="98"/>
      <c r="D707" s="99" t="s">
        <v>1086</v>
      </c>
      <c r="E707" s="98"/>
      <c r="F707" s="93"/>
      <c r="G707" s="93"/>
      <c r="H707" s="93"/>
      <c r="I707" s="93"/>
    </row>
    <row r="708" spans="2:9" x14ac:dyDescent="0.3">
      <c r="B708" s="93"/>
      <c r="C708" s="98"/>
      <c r="D708" s="83"/>
      <c r="E708" s="100" t="s">
        <v>1087</v>
      </c>
      <c r="F708" s="93"/>
      <c r="G708" s="93"/>
      <c r="H708" s="93"/>
      <c r="I708" s="93"/>
    </row>
    <row r="709" spans="2:9" x14ac:dyDescent="0.3">
      <c r="B709" s="93"/>
      <c r="C709" s="98"/>
      <c r="D709" s="83"/>
      <c r="E709" s="100" t="s">
        <v>1088</v>
      </c>
      <c r="F709" s="93"/>
      <c r="G709" s="93"/>
      <c r="H709" s="93"/>
      <c r="I709" s="93"/>
    </row>
    <row r="710" spans="2:9" x14ac:dyDescent="0.3">
      <c r="B710" s="93"/>
      <c r="C710" s="98"/>
      <c r="D710" s="83"/>
      <c r="E710" s="100" t="s">
        <v>1089</v>
      </c>
      <c r="F710" s="93"/>
      <c r="G710" s="93"/>
      <c r="H710" s="93"/>
      <c r="I710" s="93"/>
    </row>
    <row r="711" spans="2:9" x14ac:dyDescent="0.3">
      <c r="B711" s="93"/>
      <c r="C711" s="98"/>
      <c r="D711" s="83"/>
      <c r="E711" s="100" t="s">
        <v>1090</v>
      </c>
      <c r="F711" s="93"/>
      <c r="G711" s="93"/>
      <c r="H711" s="93"/>
      <c r="I711" s="93"/>
    </row>
    <row r="712" spans="2:9" x14ac:dyDescent="0.3">
      <c r="B712" s="93"/>
      <c r="C712" s="98"/>
      <c r="D712" s="99" t="s">
        <v>1091</v>
      </c>
      <c r="E712" s="98"/>
      <c r="F712" s="93"/>
      <c r="G712" s="93"/>
      <c r="H712" s="93"/>
      <c r="I712" s="93"/>
    </row>
    <row r="713" spans="2:9" x14ac:dyDescent="0.3">
      <c r="B713" s="93"/>
      <c r="C713" s="98" t="s">
        <v>1092</v>
      </c>
      <c r="D713" s="98"/>
      <c r="E713" s="98"/>
      <c r="F713" s="93"/>
      <c r="G713" s="93"/>
      <c r="H713" s="93"/>
      <c r="I713" s="93"/>
    </row>
    <row r="714" spans="2:9" x14ac:dyDescent="0.3">
      <c r="B714" s="93"/>
      <c r="C714" s="98"/>
      <c r="D714" s="99" t="s">
        <v>1093</v>
      </c>
      <c r="E714" s="98"/>
      <c r="F714" s="93"/>
      <c r="G714" s="93"/>
      <c r="H714" s="93"/>
      <c r="I714" s="93"/>
    </row>
    <row r="715" spans="2:9" x14ac:dyDescent="0.3">
      <c r="B715" s="93"/>
      <c r="C715" s="98"/>
      <c r="D715" s="83"/>
      <c r="E715" s="100" t="s">
        <v>1094</v>
      </c>
      <c r="F715" s="93"/>
      <c r="G715" s="93"/>
      <c r="H715" s="93"/>
      <c r="I715" s="93"/>
    </row>
    <row r="716" spans="2:9" x14ac:dyDescent="0.3">
      <c r="B716" s="93"/>
      <c r="C716" s="98"/>
      <c r="D716" s="83"/>
      <c r="E716" s="100" t="s">
        <v>1095</v>
      </c>
      <c r="F716" s="93"/>
      <c r="G716" s="93"/>
      <c r="H716" s="93"/>
      <c r="I716" s="93"/>
    </row>
    <row r="717" spans="2:9" x14ac:dyDescent="0.3">
      <c r="B717" s="93"/>
      <c r="C717" s="98"/>
      <c r="D717" s="83"/>
      <c r="E717" s="100" t="s">
        <v>984</v>
      </c>
      <c r="F717" s="93"/>
      <c r="G717" s="93"/>
      <c r="H717" s="93"/>
      <c r="I717" s="93"/>
    </row>
    <row r="718" spans="2:9" x14ac:dyDescent="0.3">
      <c r="B718" s="93"/>
      <c r="C718" s="98"/>
      <c r="D718" s="83"/>
      <c r="E718" s="100" t="s">
        <v>983</v>
      </c>
      <c r="F718" s="93"/>
      <c r="G718" s="93"/>
      <c r="H718" s="93"/>
      <c r="I718" s="93"/>
    </row>
    <row r="719" spans="2:9" x14ac:dyDescent="0.3">
      <c r="B719" s="93"/>
      <c r="C719" s="98"/>
      <c r="D719" s="83"/>
      <c r="E719" s="100" t="s">
        <v>1096</v>
      </c>
      <c r="F719" s="93"/>
      <c r="G719" s="93"/>
      <c r="H719" s="93"/>
      <c r="I719" s="93"/>
    </row>
    <row r="720" spans="2:9" x14ac:dyDescent="0.3">
      <c r="B720" s="93"/>
      <c r="C720" s="98"/>
      <c r="D720" s="83"/>
      <c r="E720" s="100" t="s">
        <v>1097</v>
      </c>
      <c r="F720" s="93"/>
      <c r="G720" s="93"/>
      <c r="H720" s="93"/>
      <c r="I720" s="93"/>
    </row>
    <row r="721" spans="2:9" x14ac:dyDescent="0.3">
      <c r="B721" s="93"/>
      <c r="C721" s="98"/>
      <c r="D721" s="83"/>
      <c r="E721" s="100" t="s">
        <v>1098</v>
      </c>
      <c r="F721" s="93"/>
      <c r="G721" s="93"/>
      <c r="H721" s="93"/>
      <c r="I721" s="93"/>
    </row>
    <row r="722" spans="2:9" x14ac:dyDescent="0.3">
      <c r="B722" s="93"/>
      <c r="C722" s="98"/>
      <c r="D722" s="83"/>
      <c r="E722" s="100" t="s">
        <v>1099</v>
      </c>
      <c r="F722" s="93"/>
      <c r="G722" s="93"/>
      <c r="H722" s="93"/>
      <c r="I722" s="93"/>
    </row>
    <row r="723" spans="2:9" x14ac:dyDescent="0.3">
      <c r="B723" s="93"/>
      <c r="C723" s="98"/>
      <c r="D723" s="99" t="s">
        <v>1091</v>
      </c>
      <c r="E723" s="98"/>
      <c r="F723" s="93"/>
      <c r="G723" s="93"/>
      <c r="H723" s="93"/>
      <c r="I723" s="93"/>
    </row>
    <row r="724" spans="2:9" x14ac:dyDescent="0.3">
      <c r="B724" s="93"/>
      <c r="C724" s="98" t="s">
        <v>1100</v>
      </c>
      <c r="D724" s="98"/>
      <c r="E724" s="98"/>
      <c r="F724" s="93"/>
      <c r="G724" s="93"/>
      <c r="H724" s="93"/>
      <c r="I724" s="93"/>
    </row>
    <row r="725" spans="2:9" x14ac:dyDescent="0.3">
      <c r="B725" s="93"/>
      <c r="C725" s="98"/>
      <c r="D725" s="99" t="s">
        <v>1101</v>
      </c>
      <c r="E725" s="98"/>
      <c r="F725" s="93"/>
      <c r="G725" s="93"/>
      <c r="H725" s="93"/>
      <c r="I725" s="93"/>
    </row>
    <row r="726" spans="2:9" x14ac:dyDescent="0.3">
      <c r="B726" s="93"/>
      <c r="C726" s="98"/>
      <c r="D726" s="83"/>
      <c r="E726" s="100" t="s">
        <v>1102</v>
      </c>
      <c r="F726" s="93"/>
      <c r="G726" s="93"/>
      <c r="H726" s="93"/>
      <c r="I726" s="93"/>
    </row>
    <row r="727" spans="2:9" x14ac:dyDescent="0.3">
      <c r="B727" s="93"/>
      <c r="C727" s="98"/>
      <c r="D727" s="83"/>
      <c r="E727" s="100" t="s">
        <v>1103</v>
      </c>
      <c r="F727" s="93"/>
      <c r="G727" s="93"/>
      <c r="H727" s="93"/>
      <c r="I727" s="93"/>
    </row>
    <row r="728" spans="2:9" x14ac:dyDescent="0.3">
      <c r="B728" s="93"/>
      <c r="C728" s="98"/>
      <c r="D728" s="83"/>
      <c r="E728" s="100" t="s">
        <v>1104</v>
      </c>
      <c r="F728" s="93"/>
      <c r="G728" s="93"/>
      <c r="H728" s="93"/>
      <c r="I728" s="93"/>
    </row>
    <row r="729" spans="2:9" x14ac:dyDescent="0.3">
      <c r="B729" s="93"/>
      <c r="C729" s="98"/>
      <c r="D729" s="83"/>
      <c r="E729" s="100" t="s">
        <v>1105</v>
      </c>
      <c r="F729" s="93"/>
      <c r="G729" s="93"/>
      <c r="H729" s="93"/>
      <c r="I729" s="93"/>
    </row>
    <row r="730" spans="2:9" x14ac:dyDescent="0.3">
      <c r="B730" s="93"/>
      <c r="C730" s="98"/>
      <c r="D730" s="83"/>
      <c r="E730" s="100" t="s">
        <v>1106</v>
      </c>
      <c r="F730" s="93"/>
      <c r="G730" s="93"/>
      <c r="H730" s="93"/>
      <c r="I730" s="93"/>
    </row>
    <row r="731" spans="2:9" x14ac:dyDescent="0.3">
      <c r="B731" s="93"/>
      <c r="C731" s="98"/>
      <c r="D731" s="83"/>
      <c r="E731" s="100" t="s">
        <v>1107</v>
      </c>
      <c r="F731" s="93"/>
      <c r="G731" s="93"/>
      <c r="H731" s="93"/>
      <c r="I731" s="93"/>
    </row>
    <row r="732" spans="2:9" x14ac:dyDescent="0.3">
      <c r="B732" s="93"/>
      <c r="C732" s="98"/>
      <c r="D732" s="83"/>
      <c r="E732" s="100" t="s">
        <v>1108</v>
      </c>
      <c r="F732" s="93"/>
      <c r="G732" s="93"/>
      <c r="H732" s="93"/>
      <c r="I732" s="93"/>
    </row>
    <row r="733" spans="2:9" x14ac:dyDescent="0.3">
      <c r="B733" s="93"/>
      <c r="C733" s="98"/>
      <c r="D733" s="83"/>
      <c r="E733" s="100" t="s">
        <v>1109</v>
      </c>
      <c r="F733" s="93"/>
      <c r="G733" s="93"/>
      <c r="H733" s="93"/>
      <c r="I733" s="93"/>
    </row>
    <row r="734" spans="2:9" x14ac:dyDescent="0.3">
      <c r="B734" s="93"/>
      <c r="C734" s="98"/>
      <c r="D734" s="99" t="s">
        <v>1110</v>
      </c>
      <c r="E734" s="98"/>
      <c r="F734" s="93"/>
      <c r="G734" s="93"/>
      <c r="H734" s="93"/>
      <c r="I734" s="93"/>
    </row>
    <row r="735" spans="2:9" x14ac:dyDescent="0.3">
      <c r="B735" s="93"/>
      <c r="C735" s="98" t="s">
        <v>1111</v>
      </c>
      <c r="D735" s="98"/>
      <c r="E735" s="98"/>
      <c r="F735" s="93"/>
      <c r="G735" s="93"/>
      <c r="H735" s="93"/>
      <c r="I735" s="93"/>
    </row>
    <row r="736" spans="2:9" x14ac:dyDescent="0.3">
      <c r="B736" s="93"/>
      <c r="C736" s="98"/>
      <c r="D736" s="99" t="s">
        <v>1112</v>
      </c>
      <c r="E736" s="98"/>
      <c r="F736" s="93"/>
      <c r="G736" s="93"/>
      <c r="H736" s="93"/>
      <c r="I736" s="93"/>
    </row>
    <row r="737" spans="2:12" x14ac:dyDescent="0.3">
      <c r="B737" s="93"/>
      <c r="C737" s="98"/>
      <c r="D737" s="83"/>
      <c r="E737" s="100" t="s">
        <v>1113</v>
      </c>
      <c r="F737" s="93"/>
      <c r="G737" s="93"/>
      <c r="H737" s="93"/>
      <c r="I737" s="93"/>
    </row>
    <row r="738" spans="2:12" x14ac:dyDescent="0.3">
      <c r="B738" s="93"/>
      <c r="C738" s="98"/>
      <c r="D738" s="83"/>
      <c r="E738" s="100" t="s">
        <v>1114</v>
      </c>
      <c r="F738" s="93"/>
      <c r="G738" s="93"/>
      <c r="H738" s="93"/>
      <c r="I738" s="93"/>
    </row>
    <row r="739" spans="2:12" x14ac:dyDescent="0.3">
      <c r="B739" s="93"/>
      <c r="C739" s="98"/>
      <c r="D739" s="83"/>
      <c r="E739" s="100" t="s">
        <v>1115</v>
      </c>
      <c r="F739" s="93"/>
      <c r="G739" s="93"/>
      <c r="H739" s="93"/>
      <c r="I739" s="93"/>
    </row>
    <row r="740" spans="2:12" x14ac:dyDescent="0.3">
      <c r="B740" s="93"/>
      <c r="C740" s="98"/>
      <c r="D740" s="83"/>
      <c r="E740" s="100" t="s">
        <v>1116</v>
      </c>
      <c r="F740" s="93"/>
      <c r="G740" s="93"/>
      <c r="H740" s="93"/>
      <c r="I740" s="93"/>
    </row>
    <row r="741" spans="2:12" x14ac:dyDescent="0.3">
      <c r="B741" s="93"/>
      <c r="C741" s="98"/>
      <c r="D741" s="83"/>
      <c r="E741" s="100" t="s">
        <v>1117</v>
      </c>
      <c r="F741" s="93"/>
      <c r="G741" s="93"/>
      <c r="H741" s="93"/>
      <c r="I741" s="93"/>
    </row>
    <row r="742" spans="2:12" x14ac:dyDescent="0.3">
      <c r="B742" s="93"/>
      <c r="C742" s="98"/>
      <c r="D742" s="83"/>
      <c r="E742" s="100" t="s">
        <v>1118</v>
      </c>
      <c r="F742" s="93"/>
      <c r="G742" s="93"/>
      <c r="H742" s="93"/>
      <c r="I742" s="93"/>
    </row>
    <row r="743" spans="2:12" x14ac:dyDescent="0.3">
      <c r="B743" s="93"/>
      <c r="C743" s="98"/>
      <c r="D743" s="99" t="s">
        <v>1091</v>
      </c>
      <c r="E743" s="98"/>
      <c r="F743" s="93"/>
      <c r="G743" s="93"/>
      <c r="H743" s="93"/>
      <c r="I743" s="93"/>
    </row>
    <row r="744" spans="2:12" x14ac:dyDescent="0.3">
      <c r="B744" s="93" t="s">
        <v>1246</v>
      </c>
      <c r="C744" s="93"/>
      <c r="D744" s="93"/>
      <c r="E744" s="93"/>
      <c r="F744" s="93"/>
      <c r="G744" s="93"/>
      <c r="H744" s="93"/>
      <c r="I744" s="93"/>
      <c r="J744" s="93"/>
      <c r="K744" s="93"/>
      <c r="L744" s="93"/>
    </row>
    <row r="745" spans="2:12" x14ac:dyDescent="0.3">
      <c r="B745" s="93"/>
      <c r="C745" s="93" t="s">
        <v>1120</v>
      </c>
      <c r="D745" s="93"/>
      <c r="E745" s="93"/>
      <c r="F745" s="93"/>
      <c r="G745" s="93"/>
      <c r="H745" s="93"/>
      <c r="I745" s="93"/>
      <c r="J745" s="93"/>
      <c r="K745" s="93"/>
      <c r="L745" s="93"/>
    </row>
    <row r="746" spans="2:12" x14ac:dyDescent="0.3">
      <c r="B746" s="93"/>
      <c r="C746" s="93"/>
      <c r="D746" s="93" t="s">
        <v>1121</v>
      </c>
      <c r="E746" s="93"/>
      <c r="F746" s="93"/>
      <c r="G746" s="93"/>
      <c r="H746" s="93"/>
      <c r="I746" s="93"/>
      <c r="J746" s="93"/>
      <c r="K746" s="93"/>
      <c r="L746" s="93"/>
    </row>
    <row r="747" spans="2:12" x14ac:dyDescent="0.3">
      <c r="B747" s="93"/>
      <c r="C747" s="93"/>
      <c r="D747" s="93" t="s">
        <v>1122</v>
      </c>
      <c r="E747" s="93"/>
      <c r="F747" s="93"/>
      <c r="G747" s="93"/>
      <c r="H747" s="93"/>
      <c r="I747" s="93"/>
      <c r="J747" s="93"/>
      <c r="K747" s="93"/>
      <c r="L747" s="93"/>
    </row>
    <row r="748" spans="2:12" x14ac:dyDescent="0.3">
      <c r="B748" s="93"/>
      <c r="C748" s="93"/>
      <c r="D748" s="93" t="s">
        <v>1123</v>
      </c>
      <c r="E748" s="93"/>
      <c r="F748" s="93"/>
      <c r="G748" s="93"/>
      <c r="H748" s="93"/>
      <c r="I748" s="93"/>
      <c r="J748" s="93"/>
      <c r="K748" s="93"/>
      <c r="L748" s="93"/>
    </row>
    <row r="749" spans="2:12" x14ac:dyDescent="0.3">
      <c r="B749" s="93"/>
      <c r="C749" s="93"/>
      <c r="D749" s="93" t="s">
        <v>144</v>
      </c>
      <c r="E749" s="93"/>
      <c r="F749" s="93"/>
      <c r="G749" s="93"/>
      <c r="H749" s="93"/>
      <c r="I749" s="93"/>
      <c r="J749" s="93"/>
      <c r="K749" s="93"/>
      <c r="L749" s="93"/>
    </row>
    <row r="750" spans="2:12" x14ac:dyDescent="0.3">
      <c r="B750" s="93"/>
      <c r="C750" s="93"/>
      <c r="D750" s="93" t="s">
        <v>1124</v>
      </c>
      <c r="E750" s="93"/>
      <c r="F750" s="93"/>
      <c r="G750" s="93"/>
      <c r="H750" s="93"/>
      <c r="I750" s="93"/>
      <c r="J750" s="93"/>
      <c r="K750" s="93"/>
      <c r="L750" s="93"/>
    </row>
    <row r="751" spans="2:12" x14ac:dyDescent="0.3">
      <c r="B751" s="93"/>
      <c r="C751" s="93"/>
      <c r="D751" s="93" t="s">
        <v>1125</v>
      </c>
      <c r="E751" s="93"/>
      <c r="F751" s="93"/>
      <c r="G751" s="93"/>
      <c r="H751" s="93"/>
      <c r="I751" s="93"/>
      <c r="J751" s="93"/>
      <c r="K751" s="93"/>
      <c r="L751" s="93"/>
    </row>
    <row r="752" spans="2:12" x14ac:dyDescent="0.3">
      <c r="B752" s="94"/>
      <c r="C752" s="93"/>
      <c r="D752" s="93" t="s">
        <v>1126</v>
      </c>
      <c r="E752" s="93"/>
      <c r="F752" s="93"/>
      <c r="G752" s="93"/>
      <c r="H752" s="93"/>
      <c r="I752" s="93"/>
      <c r="J752" s="93"/>
      <c r="K752" s="93"/>
      <c r="L752" s="93"/>
    </row>
    <row r="753" spans="2:12" x14ac:dyDescent="0.3">
      <c r="B753" s="93"/>
      <c r="C753" s="93"/>
      <c r="D753" s="92" t="s">
        <v>1247</v>
      </c>
      <c r="E753" s="93"/>
      <c r="F753" s="93"/>
      <c r="G753" s="93"/>
      <c r="H753" s="93"/>
      <c r="I753" s="93"/>
      <c r="J753" s="93"/>
      <c r="K753" s="93"/>
      <c r="L753" s="93"/>
    </row>
    <row r="754" spans="2:12" x14ac:dyDescent="0.3">
      <c r="B754" s="93"/>
      <c r="C754" s="93"/>
      <c r="D754" s="92" t="s">
        <v>1128</v>
      </c>
      <c r="E754" s="93"/>
      <c r="F754" s="93"/>
      <c r="G754" s="93"/>
      <c r="H754" s="93"/>
      <c r="I754" s="93"/>
      <c r="J754" s="93"/>
      <c r="K754" s="93"/>
      <c r="L754" s="93"/>
    </row>
    <row r="755" spans="2:12" x14ac:dyDescent="0.3">
      <c r="B755" s="93"/>
      <c r="C755" s="93" t="s">
        <v>1129</v>
      </c>
      <c r="D755" s="93"/>
      <c r="E755" s="93"/>
      <c r="F755" s="93"/>
      <c r="G755" s="93"/>
      <c r="H755" s="93"/>
      <c r="I755" s="93"/>
      <c r="J755" s="93"/>
      <c r="K755" s="93"/>
      <c r="L755" s="93"/>
    </row>
    <row r="756" spans="2:12" x14ac:dyDescent="0.3">
      <c r="B756" s="93"/>
      <c r="C756" s="93"/>
      <c r="D756" s="93" t="s">
        <v>1130</v>
      </c>
      <c r="E756" s="93"/>
      <c r="F756" s="93"/>
      <c r="G756" s="93"/>
      <c r="H756" s="93"/>
      <c r="I756" s="93"/>
      <c r="J756" s="93"/>
      <c r="K756" s="93"/>
      <c r="L756" s="93"/>
    </row>
    <row r="757" spans="2:12" x14ac:dyDescent="0.3">
      <c r="B757" s="93"/>
      <c r="C757" s="93"/>
      <c r="D757" s="93" t="s">
        <v>318</v>
      </c>
      <c r="E757" s="93"/>
      <c r="F757" s="93"/>
      <c r="G757" s="93"/>
      <c r="H757" s="93"/>
      <c r="I757" s="93"/>
      <c r="J757" s="93"/>
      <c r="K757" s="93"/>
      <c r="L757" s="93"/>
    </row>
    <row r="758" spans="2:12" x14ac:dyDescent="0.3">
      <c r="B758" s="94"/>
      <c r="C758" s="93"/>
      <c r="D758" s="93" t="s">
        <v>985</v>
      </c>
      <c r="E758" s="93"/>
      <c r="F758" s="93"/>
      <c r="G758" s="93"/>
      <c r="H758" s="93"/>
      <c r="I758" s="93"/>
      <c r="J758" s="93"/>
      <c r="K758" s="93"/>
      <c r="L758" s="93"/>
    </row>
    <row r="759" spans="2:12" x14ac:dyDescent="0.3">
      <c r="B759" s="94"/>
      <c r="C759" s="93"/>
      <c r="D759" s="93" t="s">
        <v>1131</v>
      </c>
      <c r="E759" s="93"/>
      <c r="F759" s="93"/>
      <c r="G759" s="93"/>
      <c r="H759" s="93"/>
      <c r="I759" s="93"/>
      <c r="J759" s="93"/>
      <c r="K759" s="93"/>
      <c r="L759" s="93"/>
    </row>
    <row r="760" spans="2:12" x14ac:dyDescent="0.3">
      <c r="B760" s="93"/>
      <c r="C760" s="93" t="s">
        <v>1132</v>
      </c>
      <c r="D760" s="93"/>
      <c r="E760" s="93"/>
      <c r="F760" s="93"/>
      <c r="G760" s="93"/>
      <c r="H760" s="93"/>
      <c r="I760" s="93"/>
      <c r="J760" s="93"/>
      <c r="K760" s="93"/>
      <c r="L760" s="93"/>
    </row>
    <row r="761" spans="2:12" x14ac:dyDescent="0.3">
      <c r="B761" s="93"/>
      <c r="C761" s="93"/>
      <c r="D761" s="92" t="s">
        <v>1133</v>
      </c>
      <c r="E761" s="93"/>
      <c r="F761" s="93"/>
      <c r="G761" s="93"/>
      <c r="H761" s="93"/>
      <c r="I761" s="93"/>
      <c r="J761" s="93"/>
      <c r="K761" s="93"/>
      <c r="L761" s="93"/>
    </row>
    <row r="762" spans="2:12" x14ac:dyDescent="0.3">
      <c r="B762" s="94"/>
      <c r="C762" s="93"/>
      <c r="D762" s="92" t="s">
        <v>1134</v>
      </c>
      <c r="E762" s="93"/>
      <c r="F762" s="93"/>
      <c r="G762" s="93"/>
      <c r="H762" s="93"/>
      <c r="I762" s="93"/>
      <c r="J762" s="93"/>
      <c r="K762" s="93"/>
      <c r="L762" s="93"/>
    </row>
    <row r="763" spans="2:12" x14ac:dyDescent="0.3">
      <c r="B763" s="93"/>
      <c r="C763" s="93"/>
      <c r="D763" s="92" t="s">
        <v>1135</v>
      </c>
      <c r="E763" s="93"/>
      <c r="F763" s="93"/>
      <c r="G763" s="93"/>
      <c r="H763" s="93"/>
      <c r="I763" s="93"/>
      <c r="J763" s="93"/>
      <c r="K763" s="93"/>
      <c r="L763" s="93"/>
    </row>
    <row r="764" spans="2:12" x14ac:dyDescent="0.3">
      <c r="B764" s="93" t="s">
        <v>1136</v>
      </c>
      <c r="C764" s="93"/>
      <c r="D764" s="93"/>
      <c r="E764" s="93"/>
      <c r="F764" s="93"/>
      <c r="G764" s="93"/>
      <c r="H764" s="93"/>
      <c r="I764" s="93"/>
      <c r="J764" s="93"/>
      <c r="K764" s="93"/>
      <c r="L764" s="94"/>
    </row>
    <row r="765" spans="2:12" x14ac:dyDescent="0.3">
      <c r="B765" s="93"/>
      <c r="C765" s="93" t="s">
        <v>1137</v>
      </c>
      <c r="D765" s="93"/>
      <c r="E765" s="93"/>
      <c r="F765" s="93"/>
      <c r="G765" s="93"/>
      <c r="H765" s="93"/>
      <c r="I765" s="93"/>
      <c r="J765" s="93"/>
      <c r="K765" s="93"/>
      <c r="L765" s="93"/>
    </row>
    <row r="766" spans="2:12" x14ac:dyDescent="0.3">
      <c r="B766" s="94"/>
      <c r="C766" s="93"/>
      <c r="D766" s="93" t="s">
        <v>1138</v>
      </c>
      <c r="E766" s="93"/>
      <c r="F766" s="93"/>
      <c r="G766" s="93"/>
      <c r="H766" s="93"/>
      <c r="I766" s="93"/>
      <c r="J766" s="93"/>
      <c r="K766" s="93"/>
      <c r="L766" s="94"/>
    </row>
    <row r="767" spans="2:12" x14ac:dyDescent="0.3">
      <c r="B767" s="93"/>
      <c r="C767" s="93"/>
      <c r="D767" s="93" t="s">
        <v>1139</v>
      </c>
      <c r="E767" s="93"/>
      <c r="F767" s="93"/>
      <c r="G767" s="93"/>
      <c r="H767" s="93"/>
      <c r="I767" s="93"/>
      <c r="J767" s="93"/>
      <c r="K767" s="93"/>
      <c r="L767" s="93"/>
    </row>
    <row r="768" spans="2:12" x14ac:dyDescent="0.3">
      <c r="B768" s="93"/>
      <c r="C768" s="93"/>
      <c r="D768" s="93"/>
      <c r="E768" s="93" t="s">
        <v>1140</v>
      </c>
      <c r="F768" s="93"/>
      <c r="G768" s="93"/>
      <c r="H768" s="93"/>
      <c r="I768" s="93"/>
      <c r="J768" s="93"/>
      <c r="K768" s="93"/>
      <c r="L768" s="94"/>
    </row>
    <row r="769" spans="2:12" x14ac:dyDescent="0.3">
      <c r="B769" s="94"/>
      <c r="C769" s="93"/>
      <c r="D769" s="93"/>
      <c r="E769" s="93" t="s">
        <v>1141</v>
      </c>
      <c r="F769" s="93"/>
      <c r="G769" s="93"/>
      <c r="H769" s="93"/>
      <c r="I769" s="93"/>
      <c r="J769" s="93"/>
      <c r="K769" s="93"/>
      <c r="L769" s="93"/>
    </row>
    <row r="770" spans="2:12" x14ac:dyDescent="0.3">
      <c r="B770" s="93"/>
      <c r="C770" s="93"/>
      <c r="D770" s="93"/>
      <c r="E770" s="93" t="s">
        <v>1142</v>
      </c>
      <c r="F770" s="93"/>
      <c r="G770" s="93"/>
      <c r="H770" s="93"/>
      <c r="I770" s="93"/>
      <c r="J770" s="93"/>
      <c r="K770" s="93"/>
      <c r="L770" s="94"/>
    </row>
    <row r="771" spans="2:12" x14ac:dyDescent="0.3">
      <c r="B771" s="93"/>
      <c r="C771" s="93"/>
      <c r="D771" s="93"/>
      <c r="E771" s="93" t="s">
        <v>1143</v>
      </c>
      <c r="F771" s="93"/>
      <c r="G771" s="93"/>
      <c r="H771" s="93"/>
      <c r="I771" s="93"/>
      <c r="J771" s="93"/>
      <c r="K771" s="93"/>
      <c r="L771" s="93"/>
    </row>
    <row r="772" spans="2:12" x14ac:dyDescent="0.3">
      <c r="B772" s="93"/>
      <c r="C772" s="93"/>
      <c r="D772" s="93"/>
      <c r="E772" s="93" t="s">
        <v>1144</v>
      </c>
      <c r="F772" s="93"/>
      <c r="G772" s="93"/>
      <c r="H772" s="93"/>
      <c r="I772" s="93"/>
      <c r="J772" s="93"/>
      <c r="K772" s="93"/>
      <c r="L772" s="94"/>
    </row>
    <row r="773" spans="2:12" x14ac:dyDescent="0.3">
      <c r="B773" s="93"/>
      <c r="C773" s="93" t="s">
        <v>1145</v>
      </c>
      <c r="D773" s="93"/>
      <c r="E773" s="93"/>
      <c r="F773" s="93"/>
      <c r="G773" s="93"/>
      <c r="H773" s="93"/>
      <c r="I773" s="93"/>
      <c r="J773" s="93"/>
      <c r="K773" s="93"/>
      <c r="L773" s="93"/>
    </row>
    <row r="774" spans="2:12" x14ac:dyDescent="0.3">
      <c r="B774" s="93"/>
      <c r="C774" s="93"/>
      <c r="D774" s="93" t="s">
        <v>1146</v>
      </c>
      <c r="E774" s="93"/>
      <c r="F774" s="93"/>
      <c r="G774" s="93"/>
      <c r="H774" s="93"/>
      <c r="I774" s="93"/>
      <c r="J774" s="93"/>
      <c r="K774" s="93"/>
      <c r="L774" s="94"/>
    </row>
    <row r="775" spans="2:12" x14ac:dyDescent="0.3">
      <c r="B775" s="93"/>
      <c r="C775" s="93"/>
      <c r="D775" s="93" t="s">
        <v>1147</v>
      </c>
      <c r="E775" s="93"/>
      <c r="F775" s="93"/>
      <c r="G775" s="93"/>
      <c r="H775" s="93"/>
      <c r="I775" s="93"/>
      <c r="J775" s="93"/>
      <c r="K775" s="93"/>
      <c r="L775" s="93"/>
    </row>
    <row r="776" spans="2:12" x14ac:dyDescent="0.3">
      <c r="B776" s="93"/>
      <c r="C776" s="93"/>
      <c r="D776" s="93"/>
      <c r="E776" s="93" t="s">
        <v>1148</v>
      </c>
      <c r="F776" s="93"/>
      <c r="G776" s="93"/>
      <c r="H776" s="93"/>
      <c r="I776" s="93"/>
      <c r="J776" s="93"/>
      <c r="K776" s="93"/>
      <c r="L776" s="94"/>
    </row>
    <row r="777" spans="2:12" x14ac:dyDescent="0.3">
      <c r="B777" s="93"/>
      <c r="C777" s="93"/>
      <c r="D777" s="93"/>
      <c r="E777" s="93" t="s">
        <v>1140</v>
      </c>
      <c r="F777" s="93"/>
      <c r="G777" s="93"/>
      <c r="H777" s="93"/>
      <c r="I777" s="93"/>
      <c r="J777" s="93"/>
      <c r="K777" s="93"/>
      <c r="L777" s="93"/>
    </row>
    <row r="778" spans="2:12" x14ac:dyDescent="0.3">
      <c r="B778" s="93"/>
      <c r="C778" s="93"/>
      <c r="D778" s="93"/>
      <c r="E778" s="93" t="s">
        <v>1149</v>
      </c>
      <c r="F778" s="93"/>
      <c r="G778" s="93"/>
      <c r="H778" s="93"/>
      <c r="I778" s="93"/>
      <c r="J778" s="93"/>
      <c r="K778" s="93"/>
      <c r="L778" s="94"/>
    </row>
    <row r="779" spans="2:12" x14ac:dyDescent="0.3">
      <c r="B779" s="93"/>
      <c r="C779" s="93" t="s">
        <v>1150</v>
      </c>
      <c r="D779" s="93"/>
      <c r="E779" s="93"/>
      <c r="F779" s="93"/>
      <c r="G779" s="93"/>
      <c r="H779" s="93"/>
      <c r="I779" s="93"/>
      <c r="J779" s="93"/>
      <c r="K779" s="93"/>
      <c r="L779" s="94"/>
    </row>
    <row r="780" spans="2:12" x14ac:dyDescent="0.3">
      <c r="B780" s="93"/>
      <c r="C780" s="93"/>
      <c r="D780" s="93" t="s">
        <v>1151</v>
      </c>
      <c r="E780" s="93"/>
      <c r="F780" s="93"/>
      <c r="G780" s="93"/>
      <c r="H780" s="93"/>
      <c r="I780" s="93"/>
      <c r="J780" s="93"/>
      <c r="K780" s="93"/>
      <c r="L780" s="93"/>
    </row>
    <row r="781" spans="2:12" x14ac:dyDescent="0.3">
      <c r="B781" s="93"/>
      <c r="C781" s="93"/>
      <c r="D781" s="93" t="s">
        <v>1152</v>
      </c>
      <c r="E781" s="93"/>
      <c r="F781" s="93"/>
      <c r="G781" s="93"/>
      <c r="H781" s="93"/>
      <c r="I781" s="93"/>
      <c r="J781" s="93"/>
      <c r="K781" s="93"/>
      <c r="L781" s="93"/>
    </row>
    <row r="782" spans="2:12" x14ac:dyDescent="0.3">
      <c r="B782" s="93"/>
      <c r="C782" s="93"/>
      <c r="D782" s="93"/>
      <c r="E782" s="93" t="s">
        <v>1153</v>
      </c>
      <c r="F782" s="93"/>
      <c r="G782" s="93"/>
      <c r="H782" s="93"/>
      <c r="I782" s="93"/>
      <c r="J782" s="93"/>
      <c r="K782" s="93"/>
      <c r="L782" s="93"/>
    </row>
    <row r="783" spans="2:12" x14ac:dyDescent="0.3">
      <c r="B783" s="93"/>
      <c r="C783" s="93"/>
      <c r="D783" s="93"/>
      <c r="E783" s="93" t="s">
        <v>1154</v>
      </c>
      <c r="F783" s="93"/>
      <c r="G783" s="93"/>
      <c r="H783" s="93"/>
      <c r="I783" s="93"/>
      <c r="J783" s="93"/>
      <c r="K783" s="93"/>
      <c r="L783" s="93"/>
    </row>
    <row r="784" spans="2:12" x14ac:dyDescent="0.3">
      <c r="B784" s="93"/>
      <c r="C784" s="93"/>
      <c r="D784" s="93"/>
      <c r="E784" s="93" t="s">
        <v>1155</v>
      </c>
      <c r="F784" s="93"/>
      <c r="G784" s="93"/>
      <c r="H784" s="93"/>
      <c r="I784" s="93"/>
      <c r="J784" s="93"/>
      <c r="K784" s="93"/>
      <c r="L784" s="93"/>
    </row>
    <row r="785" spans="2:12" x14ac:dyDescent="0.3">
      <c r="B785" s="93"/>
      <c r="C785" s="93"/>
      <c r="D785" s="93"/>
      <c r="E785" s="93" t="s">
        <v>1156</v>
      </c>
      <c r="F785" s="93"/>
      <c r="G785" s="93"/>
      <c r="H785" s="93"/>
      <c r="I785" s="93"/>
      <c r="J785" s="93"/>
      <c r="K785" s="93"/>
      <c r="L785" s="93"/>
    </row>
    <row r="786" spans="2:12" x14ac:dyDescent="0.3">
      <c r="B786" s="93"/>
      <c r="C786" s="93"/>
      <c r="D786" s="93"/>
      <c r="E786" s="93" t="s">
        <v>1157</v>
      </c>
      <c r="F786" s="93"/>
      <c r="G786" s="93"/>
      <c r="H786" s="93"/>
      <c r="I786" s="93"/>
      <c r="J786" s="93"/>
      <c r="K786" s="93"/>
      <c r="L786" s="93"/>
    </row>
    <row r="787" spans="2:12" x14ac:dyDescent="0.3">
      <c r="B787" s="93"/>
      <c r="C787" s="93"/>
      <c r="D787" s="93"/>
      <c r="E787" s="93" t="s">
        <v>1158</v>
      </c>
      <c r="F787" s="93"/>
      <c r="G787" s="93"/>
      <c r="H787" s="93"/>
      <c r="I787" s="93"/>
      <c r="J787" s="93"/>
      <c r="K787" s="93"/>
      <c r="L787" s="93"/>
    </row>
    <row r="788" spans="2:12" x14ac:dyDescent="0.3">
      <c r="B788" s="93"/>
      <c r="C788" s="93"/>
      <c r="D788" s="93"/>
      <c r="E788" s="93" t="s">
        <v>1159</v>
      </c>
      <c r="F788" s="93"/>
      <c r="G788" s="93"/>
      <c r="H788" s="93"/>
      <c r="I788" s="93"/>
      <c r="J788" s="93"/>
      <c r="K788" s="93"/>
      <c r="L788" s="93"/>
    </row>
    <row r="789" spans="2:12" x14ac:dyDescent="0.3">
      <c r="B789" s="93"/>
      <c r="C789" s="93" t="s">
        <v>1160</v>
      </c>
      <c r="D789" s="93"/>
      <c r="E789" s="93"/>
      <c r="F789" s="93"/>
      <c r="G789" s="93"/>
      <c r="H789" s="93"/>
      <c r="I789" s="93"/>
      <c r="J789" s="93"/>
      <c r="K789" s="93"/>
      <c r="L789" s="93"/>
    </row>
    <row r="790" spans="2:12" x14ac:dyDescent="0.3">
      <c r="B790" s="94"/>
      <c r="C790" s="93"/>
      <c r="D790" s="93" t="s">
        <v>1161</v>
      </c>
      <c r="E790" s="93"/>
      <c r="F790" s="93"/>
      <c r="G790" s="93"/>
      <c r="H790" s="93"/>
      <c r="I790" s="93"/>
      <c r="J790" s="93"/>
      <c r="K790" s="93"/>
      <c r="L790" s="94"/>
    </row>
    <row r="791" spans="2:12" x14ac:dyDescent="0.3">
      <c r="B791" s="94"/>
      <c r="C791" s="93"/>
      <c r="D791" s="93" t="s">
        <v>1162</v>
      </c>
      <c r="E791" s="93"/>
      <c r="F791" s="93"/>
      <c r="G791" s="93"/>
      <c r="H791" s="93"/>
      <c r="I791" s="93"/>
      <c r="J791" s="93"/>
      <c r="K791" s="93"/>
      <c r="L791" s="93"/>
    </row>
    <row r="792" spans="2:12" x14ac:dyDescent="0.3">
      <c r="B792" s="93"/>
      <c r="C792" s="93"/>
      <c r="D792" s="93"/>
      <c r="E792" s="93" t="s">
        <v>1163</v>
      </c>
      <c r="F792" s="93"/>
      <c r="G792" s="93"/>
      <c r="H792" s="93"/>
      <c r="I792" s="93"/>
      <c r="J792" s="93"/>
      <c r="K792" s="93"/>
      <c r="L792" s="93"/>
    </row>
    <row r="793" spans="2:12" x14ac:dyDescent="0.3">
      <c r="B793" s="93"/>
      <c r="C793" s="93"/>
      <c r="D793" s="93"/>
      <c r="E793" s="93" t="s">
        <v>1164</v>
      </c>
      <c r="F793" s="93"/>
      <c r="G793" s="93"/>
      <c r="H793" s="93"/>
      <c r="I793" s="93"/>
      <c r="J793" s="93"/>
      <c r="K793" s="93"/>
      <c r="L793" s="93"/>
    </row>
    <row r="794" spans="2:12" x14ac:dyDescent="0.3">
      <c r="B794" s="93"/>
      <c r="C794" s="93"/>
      <c r="D794" s="93"/>
      <c r="E794" s="93" t="s">
        <v>1165</v>
      </c>
      <c r="F794" s="93"/>
      <c r="G794" s="93"/>
      <c r="H794" s="93"/>
      <c r="I794" s="93"/>
      <c r="J794" s="93"/>
      <c r="K794" s="93"/>
      <c r="L794" s="93"/>
    </row>
    <row r="795" spans="2:12" x14ac:dyDescent="0.3">
      <c r="B795" s="94"/>
      <c r="C795" s="93"/>
      <c r="D795" s="93"/>
      <c r="E795" s="93" t="s">
        <v>1166</v>
      </c>
      <c r="F795" s="93"/>
      <c r="G795" s="93"/>
      <c r="H795" s="93"/>
      <c r="I795" s="93"/>
      <c r="J795" s="93"/>
      <c r="K795" s="93"/>
      <c r="L795" s="93"/>
    </row>
    <row r="796" spans="2:12" x14ac:dyDescent="0.3">
      <c r="B796" s="93"/>
      <c r="C796" s="93"/>
      <c r="D796" s="93"/>
      <c r="E796" s="93" t="s">
        <v>1167</v>
      </c>
      <c r="F796" s="93"/>
      <c r="G796" s="93"/>
      <c r="H796" s="93"/>
      <c r="I796" s="93"/>
      <c r="J796" s="93"/>
      <c r="K796" s="93"/>
      <c r="L796" s="93"/>
    </row>
    <row r="797" spans="2:12" x14ac:dyDescent="0.3">
      <c r="B797" s="93"/>
      <c r="C797" s="93"/>
      <c r="D797" s="93"/>
      <c r="E797" s="93" t="s">
        <v>1168</v>
      </c>
      <c r="F797" s="93"/>
      <c r="G797" s="93"/>
      <c r="H797" s="93"/>
      <c r="I797" s="93"/>
      <c r="J797" s="93"/>
      <c r="K797" s="93"/>
      <c r="L797" s="93"/>
    </row>
    <row r="798" spans="2:12" x14ac:dyDescent="0.3">
      <c r="B798" s="93"/>
      <c r="C798" s="93"/>
      <c r="D798" s="93"/>
      <c r="E798" s="93" t="s">
        <v>1169</v>
      </c>
      <c r="F798" s="93"/>
      <c r="G798" s="93"/>
      <c r="H798" s="93"/>
      <c r="I798" s="93"/>
      <c r="J798" s="93"/>
      <c r="K798" s="93"/>
      <c r="L798" s="93"/>
    </row>
    <row r="799" spans="2:12" x14ac:dyDescent="0.3">
      <c r="B799" s="93"/>
      <c r="C799" s="93" t="s">
        <v>1170</v>
      </c>
      <c r="D799" s="93"/>
      <c r="E799" s="93"/>
      <c r="F799" s="93"/>
      <c r="G799" s="93"/>
      <c r="H799" s="93"/>
      <c r="I799" s="93"/>
      <c r="J799" s="93"/>
      <c r="K799" s="93"/>
      <c r="L799" s="93"/>
    </row>
    <row r="800" spans="2:12" x14ac:dyDescent="0.3">
      <c r="B800" s="93"/>
      <c r="C800" s="93"/>
      <c r="D800" s="93" t="s">
        <v>1171</v>
      </c>
      <c r="E800" s="93"/>
      <c r="F800" s="93"/>
      <c r="G800" s="93"/>
      <c r="H800" s="93"/>
      <c r="I800" s="93"/>
      <c r="J800" s="93"/>
      <c r="K800" s="93"/>
      <c r="L800" s="94"/>
    </row>
    <row r="801" spans="2:13" x14ac:dyDescent="0.3">
      <c r="B801" s="93"/>
      <c r="C801" s="93"/>
      <c r="D801" s="93" t="s">
        <v>1172</v>
      </c>
      <c r="E801" s="93"/>
      <c r="F801" s="93"/>
      <c r="G801" s="93"/>
      <c r="H801" s="93"/>
      <c r="I801" s="93"/>
      <c r="J801" s="93"/>
      <c r="K801" s="93"/>
      <c r="L801" s="93"/>
    </row>
    <row r="802" spans="2:13" x14ac:dyDescent="0.3">
      <c r="B802" s="94"/>
      <c r="C802" s="93"/>
      <c r="D802" s="93"/>
      <c r="E802" s="93" t="s">
        <v>1173</v>
      </c>
      <c r="F802" s="93"/>
      <c r="G802" s="93"/>
      <c r="H802" s="93"/>
      <c r="I802" s="93"/>
      <c r="J802" s="93"/>
      <c r="K802" s="93"/>
      <c r="L802" s="93"/>
    </row>
    <row r="803" spans="2:13" x14ac:dyDescent="0.3">
      <c r="B803" s="94"/>
      <c r="C803" s="93"/>
      <c r="D803" s="93"/>
      <c r="E803" s="93" t="s">
        <v>1174</v>
      </c>
      <c r="F803" s="93"/>
      <c r="G803" s="93"/>
      <c r="H803" s="93"/>
      <c r="I803" s="93"/>
      <c r="J803" s="93"/>
      <c r="K803" s="93"/>
      <c r="L803" s="93"/>
    </row>
    <row r="804" spans="2:13" x14ac:dyDescent="0.3">
      <c r="B804" s="93"/>
      <c r="C804" s="93"/>
      <c r="D804" s="93"/>
      <c r="E804" s="93" t="s">
        <v>1175</v>
      </c>
      <c r="F804" s="93"/>
      <c r="G804" s="93"/>
      <c r="H804" s="93"/>
      <c r="I804" s="93"/>
      <c r="J804" s="93"/>
      <c r="K804" s="93"/>
      <c r="L804" s="93"/>
    </row>
    <row r="805" spans="2:13" x14ac:dyDescent="0.3">
      <c r="C805" s="93" t="s">
        <v>1176</v>
      </c>
      <c r="D805" s="93"/>
      <c r="E805" s="93"/>
      <c r="F805" s="93"/>
      <c r="G805" s="93"/>
      <c r="H805" s="93"/>
      <c r="I805" s="93"/>
      <c r="J805" s="93"/>
      <c r="K805" s="93"/>
      <c r="L805" s="93"/>
      <c r="M805" s="93"/>
    </row>
    <row r="806" spans="2:13" x14ac:dyDescent="0.3">
      <c r="C806" s="93"/>
      <c r="D806" s="93" t="s">
        <v>1177</v>
      </c>
      <c r="E806" s="93"/>
      <c r="F806" s="93"/>
      <c r="G806" s="93"/>
      <c r="H806" s="93"/>
      <c r="I806" s="93"/>
      <c r="J806" s="93"/>
      <c r="K806" s="93"/>
      <c r="L806" s="93"/>
      <c r="M806" s="93"/>
    </row>
    <row r="807" spans="2:13" x14ac:dyDescent="0.3">
      <c r="C807" s="93"/>
      <c r="D807" s="93" t="s">
        <v>1178</v>
      </c>
      <c r="E807" s="93"/>
      <c r="F807" s="93"/>
      <c r="G807" s="93"/>
      <c r="H807" s="93"/>
      <c r="I807" s="93"/>
      <c r="J807" s="93"/>
      <c r="K807" s="93"/>
      <c r="L807" s="93"/>
      <c r="M807" s="93"/>
    </row>
    <row r="808" spans="2:13" x14ac:dyDescent="0.3">
      <c r="C808" s="93"/>
      <c r="D808" s="93"/>
      <c r="E808" s="93" t="s">
        <v>1179</v>
      </c>
      <c r="F808" s="93"/>
      <c r="G808" s="93"/>
      <c r="H808" s="93"/>
      <c r="I808" s="93"/>
      <c r="J808" s="93"/>
      <c r="K808" s="93"/>
      <c r="L808" s="93"/>
      <c r="M808" s="93"/>
    </row>
    <row r="809" spans="2:13" x14ac:dyDescent="0.3">
      <c r="C809" s="93"/>
      <c r="D809" s="93" t="s">
        <v>1180</v>
      </c>
      <c r="E809" s="93"/>
      <c r="F809" s="93"/>
      <c r="G809" s="93"/>
      <c r="H809" s="93"/>
      <c r="I809" s="93"/>
      <c r="J809" s="93"/>
      <c r="K809" s="93"/>
      <c r="L809" s="93"/>
      <c r="M809" s="93"/>
    </row>
    <row r="810" spans="2:13" x14ac:dyDescent="0.3">
      <c r="C810" s="93"/>
      <c r="D810" s="93"/>
      <c r="E810" s="93" t="s">
        <v>1141</v>
      </c>
      <c r="F810" s="93"/>
      <c r="G810" s="93"/>
      <c r="H810" s="93"/>
      <c r="I810" s="93"/>
      <c r="J810" s="93"/>
      <c r="K810" s="93"/>
      <c r="L810" s="93"/>
      <c r="M810" s="93"/>
    </row>
    <row r="811" spans="2:13" x14ac:dyDescent="0.3">
      <c r="C811" s="93"/>
      <c r="D811" s="93"/>
      <c r="E811" s="93" t="s">
        <v>1140</v>
      </c>
      <c r="F811" s="93"/>
      <c r="G811" s="93"/>
      <c r="H811" s="93"/>
      <c r="I811" s="93"/>
      <c r="J811" s="93"/>
      <c r="K811" s="93"/>
      <c r="L811" s="93"/>
      <c r="M811" s="93"/>
    </row>
    <row r="812" spans="2:13" x14ac:dyDescent="0.3">
      <c r="C812" s="93"/>
      <c r="D812" s="93"/>
      <c r="E812" s="93" t="s">
        <v>1181</v>
      </c>
      <c r="F812" s="93"/>
      <c r="G812" s="93"/>
      <c r="H812" s="93"/>
      <c r="I812" s="93"/>
      <c r="J812" s="93"/>
      <c r="K812" s="93"/>
      <c r="L812" s="93"/>
      <c r="M812" s="93"/>
    </row>
    <row r="813" spans="2:13" x14ac:dyDescent="0.3">
      <c r="C813" s="93"/>
      <c r="D813" s="93"/>
      <c r="E813" s="93" t="s">
        <v>1182</v>
      </c>
      <c r="F813" s="93"/>
      <c r="G813" s="93"/>
      <c r="H813" s="93"/>
      <c r="I813" s="93"/>
      <c r="J813" s="93"/>
      <c r="K813" s="93"/>
      <c r="L813" s="93"/>
      <c r="M813" s="93"/>
    </row>
    <row r="814" spans="2:13" x14ac:dyDescent="0.3">
      <c r="C814" s="93"/>
      <c r="D814" s="93" t="s">
        <v>1183</v>
      </c>
      <c r="E814" s="93"/>
      <c r="F814" s="93"/>
      <c r="G814" s="93"/>
      <c r="H814" s="93"/>
      <c r="I814" s="93"/>
      <c r="J814" s="93"/>
      <c r="K814" s="93"/>
      <c r="L814" s="93"/>
      <c r="M814" s="9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FB4D-29AA-40E6-AF9F-DB57AC55B374}">
  <dimension ref="A1:BW55"/>
  <sheetViews>
    <sheetView topLeftCell="A16" zoomScale="87" workbookViewId="0">
      <selection activeCell="F17" sqref="F17:F19"/>
    </sheetView>
  </sheetViews>
  <sheetFormatPr defaultRowHeight="14.5" x14ac:dyDescent="0.35"/>
  <cols>
    <col min="1" max="1" width="22.54296875" customWidth="1"/>
    <col min="2" max="2" width="9.453125" bestFit="1" customWidth="1"/>
    <col min="3" max="3" width="7.54296875" bestFit="1" customWidth="1"/>
    <col min="4" max="4" width="7.1796875" customWidth="1"/>
    <col min="5" max="5" width="6.54296875" bestFit="1" customWidth="1"/>
    <col min="6" max="6" width="36" customWidth="1"/>
    <col min="7" max="7" width="13.453125" customWidth="1"/>
    <col min="8" max="8" width="12.81640625" customWidth="1"/>
    <col min="9" max="9" width="26.7265625" bestFit="1" customWidth="1"/>
    <col min="10" max="10" width="18.54296875" customWidth="1"/>
    <col min="11" max="11" width="16.7265625" bestFit="1" customWidth="1"/>
    <col min="12" max="12" width="9.453125" bestFit="1" customWidth="1"/>
    <col min="13" max="13" width="17.1796875" bestFit="1" customWidth="1"/>
    <col min="14" max="14" width="16.453125" bestFit="1" customWidth="1"/>
    <col min="15" max="15" width="4.453125" bestFit="1" customWidth="1"/>
    <col min="16" max="16" width="18.81640625" bestFit="1" customWidth="1"/>
    <col min="17" max="17" width="11" bestFit="1" customWidth="1"/>
    <col min="18" max="18" width="10.54296875" bestFit="1" customWidth="1"/>
    <col min="19" max="19" width="4.1796875" bestFit="1" customWidth="1"/>
    <col min="20" max="20" width="11.54296875" bestFit="1" customWidth="1"/>
    <col min="21" max="21" width="7.81640625" bestFit="1" customWidth="1"/>
    <col min="22" max="22" width="10.1796875" bestFit="1" customWidth="1"/>
    <col min="23" max="23" width="17.1796875" bestFit="1" customWidth="1"/>
    <col min="24" max="24" width="20.1796875" bestFit="1" customWidth="1"/>
    <col min="25" max="25" width="12.1796875" bestFit="1" customWidth="1"/>
    <col min="26" max="26" width="10.54296875" customWidth="1"/>
    <col min="27" max="27" width="8.1796875" bestFit="1" customWidth="1"/>
    <col min="28" max="28" width="16.453125" customWidth="1"/>
    <col min="29" max="29" width="10.54296875" bestFit="1" customWidth="1"/>
    <col min="30" max="30" width="13.1796875" bestFit="1" customWidth="1"/>
    <col min="31" max="31" width="14.1796875" bestFit="1" customWidth="1"/>
    <col min="32" max="32" width="30.453125" bestFit="1" customWidth="1"/>
    <col min="33" max="33" width="13.54296875" customWidth="1"/>
    <col min="34" max="34" width="23.453125" bestFit="1" customWidth="1"/>
    <col min="35" max="35" width="4" bestFit="1" customWidth="1"/>
    <col min="36" max="36" width="3.81640625" bestFit="1" customWidth="1"/>
    <col min="37" max="37" width="4.1796875" bestFit="1" customWidth="1"/>
    <col min="38" max="38" width="4" bestFit="1" customWidth="1"/>
    <col min="39" max="39" width="3.81640625" bestFit="1" customWidth="1"/>
    <col min="40" max="40" width="9.7265625" customWidth="1"/>
    <col min="41" max="41" width="10.81640625" customWidth="1"/>
    <col min="42" max="42" width="10.54296875" customWidth="1"/>
    <col min="43" max="43" width="4" bestFit="1" customWidth="1"/>
    <col min="44" max="44" width="3.81640625" bestFit="1" customWidth="1"/>
    <col min="45" max="45" width="13.54296875" bestFit="1" customWidth="1"/>
    <col min="46" max="46" width="20.81640625" customWidth="1"/>
    <col min="47" max="47" width="7.81640625" bestFit="1" customWidth="1"/>
    <col min="48" max="48" width="3" bestFit="1" customWidth="1"/>
    <col min="49" max="49" width="2.81640625" bestFit="1" customWidth="1"/>
    <col min="50" max="50" width="8.1796875" bestFit="1" customWidth="1"/>
    <col min="51" max="51" width="3" bestFit="1" customWidth="1"/>
    <col min="52" max="52" width="2.81640625" bestFit="1" customWidth="1"/>
    <col min="53" max="53" width="8.54296875" bestFit="1" customWidth="1"/>
    <col min="54" max="54" width="7" bestFit="1" customWidth="1"/>
    <col min="55" max="55" width="28" bestFit="1" customWidth="1"/>
    <col min="56" max="56" width="10.81640625" bestFit="1" customWidth="1"/>
    <col min="57" max="57" width="4.1796875" bestFit="1" customWidth="1"/>
    <col min="58" max="58" width="11" bestFit="1" customWidth="1"/>
    <col min="59" max="59" width="10.81640625" bestFit="1" customWidth="1"/>
    <col min="60" max="60" width="9.7265625" bestFit="1" customWidth="1"/>
    <col min="61" max="61" width="10.1796875" bestFit="1" customWidth="1"/>
    <col min="62" max="62" width="9.7265625" bestFit="1" customWidth="1"/>
    <col min="63" max="63" width="4.81640625" bestFit="1" customWidth="1"/>
    <col min="64" max="64" width="3" bestFit="1" customWidth="1"/>
    <col min="65" max="65" width="2.81640625" bestFit="1" customWidth="1"/>
    <col min="66" max="66" width="17.1796875" bestFit="1" customWidth="1"/>
    <col min="67" max="67" width="8.453125" bestFit="1" customWidth="1"/>
    <col min="68" max="68" width="13.1796875" bestFit="1" customWidth="1"/>
    <col min="69" max="69" width="15.54296875" bestFit="1" customWidth="1"/>
    <col min="70" max="70" width="21.453125" bestFit="1" customWidth="1"/>
    <col min="71" max="71" width="10.54296875" bestFit="1" customWidth="1"/>
  </cols>
  <sheetData>
    <row r="1" spans="1:75" ht="18.649999999999999" customHeight="1" x14ac:dyDescent="0.35">
      <c r="A1" s="195" t="s">
        <v>142</v>
      </c>
      <c r="B1" s="198" t="s">
        <v>295</v>
      </c>
      <c r="C1" s="198"/>
      <c r="D1" s="198"/>
      <c r="E1" s="198"/>
      <c r="F1" s="194" t="s">
        <v>296</v>
      </c>
      <c r="G1" s="194"/>
      <c r="H1" s="194"/>
      <c r="I1" s="195" t="s">
        <v>144</v>
      </c>
      <c r="J1" s="195" t="s">
        <v>145</v>
      </c>
      <c r="K1" s="194" t="s">
        <v>297</v>
      </c>
      <c r="L1" s="195" t="s">
        <v>148</v>
      </c>
      <c r="M1" s="194" t="s">
        <v>298</v>
      </c>
      <c r="N1" s="194" t="s">
        <v>299</v>
      </c>
      <c r="O1" s="195" t="s">
        <v>951</v>
      </c>
      <c r="P1" s="194" t="s">
        <v>301</v>
      </c>
      <c r="Q1" s="194" t="s">
        <v>303</v>
      </c>
      <c r="R1" s="194" t="s">
        <v>309</v>
      </c>
      <c r="S1" s="195" t="s">
        <v>310</v>
      </c>
      <c r="T1" s="194" t="s">
        <v>311</v>
      </c>
      <c r="U1" s="194" t="s">
        <v>312</v>
      </c>
      <c r="V1" s="194" t="s">
        <v>313</v>
      </c>
      <c r="W1" s="194" t="s">
        <v>1248</v>
      </c>
      <c r="X1" s="194" t="s">
        <v>315</v>
      </c>
      <c r="Y1" s="195" t="s">
        <v>146</v>
      </c>
      <c r="Z1" s="195" t="s">
        <v>147</v>
      </c>
      <c r="AA1" s="195" t="s">
        <v>294</v>
      </c>
      <c r="AB1" s="195" t="s">
        <v>326</v>
      </c>
      <c r="AC1" s="194" t="s">
        <v>322</v>
      </c>
      <c r="AD1" s="194" t="s">
        <v>1279</v>
      </c>
      <c r="AE1" s="194" t="s">
        <v>1280</v>
      </c>
      <c r="AF1" s="194" t="s">
        <v>1281</v>
      </c>
      <c r="AG1" s="194" t="s">
        <v>1294</v>
      </c>
      <c r="AH1" s="194" t="s">
        <v>1295</v>
      </c>
      <c r="AI1" s="194" t="s">
        <v>1249</v>
      </c>
      <c r="AJ1" s="194"/>
      <c r="AK1" s="194"/>
      <c r="AL1" s="195" t="s">
        <v>1250</v>
      </c>
      <c r="AM1" s="195"/>
      <c r="AN1" s="194" t="s">
        <v>327</v>
      </c>
      <c r="AO1" s="194" t="s">
        <v>328</v>
      </c>
      <c r="AP1" s="194" t="s">
        <v>329</v>
      </c>
      <c r="AQ1" s="195" t="s">
        <v>1251</v>
      </c>
      <c r="AR1" s="195"/>
      <c r="AS1" s="195"/>
      <c r="AT1" s="194" t="s">
        <v>151</v>
      </c>
      <c r="AU1" s="194" t="s">
        <v>152</v>
      </c>
      <c r="AV1" s="197" t="s">
        <v>1252</v>
      </c>
      <c r="AW1" s="197"/>
      <c r="AX1" s="197"/>
      <c r="AY1" s="197"/>
      <c r="AZ1" s="197"/>
      <c r="BA1" s="197"/>
      <c r="BB1" s="197"/>
      <c r="BC1" s="197"/>
      <c r="BD1" s="197"/>
      <c r="BE1" s="197"/>
      <c r="BF1" s="197"/>
      <c r="BG1" s="197"/>
      <c r="BH1" s="197"/>
      <c r="BI1" s="197"/>
      <c r="BJ1" s="197"/>
      <c r="BK1" s="197"/>
      <c r="BL1" s="197"/>
      <c r="BM1" s="197"/>
      <c r="BN1" s="197"/>
      <c r="BO1" s="197"/>
      <c r="BP1" s="197"/>
      <c r="BQ1" s="197"/>
      <c r="BR1" s="197"/>
      <c r="BS1" s="197"/>
    </row>
    <row r="2" spans="1:75" ht="18.649999999999999" customHeight="1" x14ac:dyDescent="0.35">
      <c r="A2" s="195"/>
      <c r="B2" s="194" t="s">
        <v>332</v>
      </c>
      <c r="C2" s="194" t="s">
        <v>1253</v>
      </c>
      <c r="D2" s="194" t="s">
        <v>334</v>
      </c>
      <c r="E2" s="194" t="s">
        <v>169</v>
      </c>
      <c r="F2" s="194" t="s">
        <v>149</v>
      </c>
      <c r="G2" s="194" t="s">
        <v>335</v>
      </c>
      <c r="H2" s="194" t="s">
        <v>336</v>
      </c>
      <c r="I2" s="195"/>
      <c r="J2" s="195"/>
      <c r="K2" s="194"/>
      <c r="L2" s="195"/>
      <c r="M2" s="194"/>
      <c r="N2" s="194"/>
      <c r="O2" s="195"/>
      <c r="P2" s="194"/>
      <c r="Q2" s="194"/>
      <c r="R2" s="194"/>
      <c r="S2" s="195"/>
      <c r="T2" s="194"/>
      <c r="U2" s="194"/>
      <c r="V2" s="194"/>
      <c r="W2" s="194"/>
      <c r="X2" s="194"/>
      <c r="Y2" s="195"/>
      <c r="Z2" s="195"/>
      <c r="AA2" s="195"/>
      <c r="AB2" s="195"/>
      <c r="AC2" s="194"/>
      <c r="AD2" s="194"/>
      <c r="AE2" s="194"/>
      <c r="AF2" s="194"/>
      <c r="AG2" s="194"/>
      <c r="AH2" s="194"/>
      <c r="AI2" s="194"/>
      <c r="AJ2" s="194"/>
      <c r="AK2" s="194"/>
      <c r="AL2" s="195"/>
      <c r="AM2" s="195"/>
      <c r="AN2" s="194"/>
      <c r="AO2" s="194"/>
      <c r="AP2" s="194"/>
      <c r="AQ2" s="195"/>
      <c r="AR2" s="195"/>
      <c r="AS2" s="195"/>
      <c r="AT2" s="194"/>
      <c r="AU2" s="194"/>
      <c r="AV2" s="195" t="s">
        <v>1254</v>
      </c>
      <c r="AW2" s="195"/>
      <c r="AX2" s="194" t="s">
        <v>1255</v>
      </c>
      <c r="AY2" s="195" t="s">
        <v>1256</v>
      </c>
      <c r="AZ2" s="195"/>
      <c r="BA2" s="194" t="s">
        <v>1282</v>
      </c>
      <c r="BB2" s="194" t="s">
        <v>1257</v>
      </c>
      <c r="BC2" s="49" t="s">
        <v>1258</v>
      </c>
      <c r="BD2" s="195" t="s">
        <v>1259</v>
      </c>
      <c r="BE2" s="195"/>
      <c r="BF2" s="195"/>
      <c r="BG2" s="195"/>
      <c r="BH2" s="194" t="s">
        <v>1283</v>
      </c>
      <c r="BI2" s="194" t="s">
        <v>1284</v>
      </c>
      <c r="BJ2" s="194" t="s">
        <v>1260</v>
      </c>
      <c r="BK2" s="195" t="s">
        <v>1261</v>
      </c>
      <c r="BL2" s="195"/>
      <c r="BM2" s="195"/>
      <c r="BN2" s="195" t="s">
        <v>1262</v>
      </c>
      <c r="BO2" s="195"/>
      <c r="BP2" s="195"/>
      <c r="BQ2" s="195"/>
      <c r="BR2" s="194" t="s">
        <v>1263</v>
      </c>
      <c r="BS2" s="196" t="s">
        <v>1264</v>
      </c>
      <c r="BT2" s="1" t="s">
        <v>1296</v>
      </c>
      <c r="BU2" s="1" t="s">
        <v>1297</v>
      </c>
      <c r="BV2" s="1" t="s">
        <v>1298</v>
      </c>
      <c r="BW2" s="1" t="s">
        <v>1299</v>
      </c>
    </row>
    <row r="3" spans="1:75" ht="19" customHeight="1" x14ac:dyDescent="0.35">
      <c r="A3" s="195"/>
      <c r="B3" s="194"/>
      <c r="C3" s="194"/>
      <c r="D3" s="194"/>
      <c r="E3" s="194"/>
      <c r="F3" s="194"/>
      <c r="G3" s="194"/>
      <c r="H3" s="194"/>
      <c r="I3" s="195"/>
      <c r="J3" s="195"/>
      <c r="K3" s="194"/>
      <c r="L3" s="195"/>
      <c r="M3" s="194"/>
      <c r="N3" s="194"/>
      <c r="O3" s="195"/>
      <c r="P3" s="194"/>
      <c r="Q3" s="194"/>
      <c r="R3" s="194"/>
      <c r="S3" s="195"/>
      <c r="T3" s="194"/>
      <c r="U3" s="194"/>
      <c r="V3" s="194"/>
      <c r="W3" s="194"/>
      <c r="X3" s="194"/>
      <c r="Y3" s="195"/>
      <c r="Z3" s="195"/>
      <c r="AA3" s="195"/>
      <c r="AB3" s="195"/>
      <c r="AC3" s="194"/>
      <c r="AD3" s="194"/>
      <c r="AE3" s="194"/>
      <c r="AF3" s="194"/>
      <c r="AG3" s="194"/>
      <c r="AH3" s="194"/>
      <c r="AI3" s="49" t="s">
        <v>1266</v>
      </c>
      <c r="AJ3" s="50" t="s">
        <v>1265</v>
      </c>
      <c r="AK3" s="50" t="s">
        <v>985</v>
      </c>
      <c r="AL3" s="49" t="s">
        <v>1266</v>
      </c>
      <c r="AM3" s="49" t="s">
        <v>1265</v>
      </c>
      <c r="AN3" s="194"/>
      <c r="AO3" s="194"/>
      <c r="AP3" s="194"/>
      <c r="AQ3" s="49" t="s">
        <v>1266</v>
      </c>
      <c r="AR3" s="49" t="s">
        <v>1265</v>
      </c>
      <c r="AS3" s="50" t="s">
        <v>1267</v>
      </c>
      <c r="AT3" s="194"/>
      <c r="AU3" s="194"/>
      <c r="AV3" s="49" t="s">
        <v>1268</v>
      </c>
      <c r="AW3" s="49" t="s">
        <v>1269</v>
      </c>
      <c r="AX3" s="194"/>
      <c r="AY3" s="49" t="s">
        <v>1268</v>
      </c>
      <c r="AZ3" s="49" t="s">
        <v>1269</v>
      </c>
      <c r="BA3" s="194"/>
      <c r="BB3" s="194"/>
      <c r="BC3" s="51" t="s">
        <v>1270</v>
      </c>
      <c r="BD3" s="49" t="s">
        <v>1271</v>
      </c>
      <c r="BE3" s="49" t="s">
        <v>985</v>
      </c>
      <c r="BF3" s="49" t="s">
        <v>1272</v>
      </c>
      <c r="BG3" s="49" t="s">
        <v>1273</v>
      </c>
      <c r="BH3" s="194"/>
      <c r="BI3" s="194"/>
      <c r="BJ3" s="194"/>
      <c r="BK3" s="49" t="s">
        <v>1274</v>
      </c>
      <c r="BL3" s="49" t="s">
        <v>1268</v>
      </c>
      <c r="BM3" s="49" t="s">
        <v>1269</v>
      </c>
      <c r="BN3" s="50" t="s">
        <v>1275</v>
      </c>
      <c r="BO3" s="50" t="s">
        <v>1285</v>
      </c>
      <c r="BP3" s="50" t="s">
        <v>1276</v>
      </c>
      <c r="BQ3" s="50" t="s">
        <v>1277</v>
      </c>
      <c r="BR3" s="194"/>
      <c r="BS3" s="196"/>
      <c r="BT3" s="1"/>
      <c r="BU3" s="1"/>
      <c r="BV3" s="1"/>
      <c r="BW3" s="1"/>
    </row>
    <row r="4" spans="1:75" ht="18.649999999999999" customHeight="1" x14ac:dyDescent="0.35">
      <c r="A4" s="188" t="s">
        <v>1300</v>
      </c>
      <c r="B4" s="189" t="s">
        <v>381</v>
      </c>
      <c r="C4" s="187" t="s">
        <v>156</v>
      </c>
      <c r="D4" s="187" t="s">
        <v>156</v>
      </c>
      <c r="E4" s="187" t="s">
        <v>156</v>
      </c>
      <c r="F4" s="190" t="s">
        <v>1301</v>
      </c>
      <c r="G4" s="187" t="s">
        <v>346</v>
      </c>
      <c r="H4" s="187" t="s">
        <v>347</v>
      </c>
      <c r="I4" s="25" t="s">
        <v>952</v>
      </c>
      <c r="J4" s="187" t="s">
        <v>368</v>
      </c>
      <c r="K4" s="57" t="s">
        <v>159</v>
      </c>
      <c r="L4" s="57" t="s">
        <v>563</v>
      </c>
      <c r="M4" s="57" t="s">
        <v>156</v>
      </c>
      <c r="N4" s="25" t="s">
        <v>156</v>
      </c>
      <c r="O4" s="25" t="s">
        <v>346</v>
      </c>
      <c r="P4" s="25" t="s">
        <v>346</v>
      </c>
      <c r="Q4" s="25" t="s">
        <v>1302</v>
      </c>
      <c r="R4" s="25" t="s">
        <v>156</v>
      </c>
      <c r="S4" s="25" t="s">
        <v>156</v>
      </c>
      <c r="T4" s="25" t="s">
        <v>156</v>
      </c>
      <c r="U4" s="25" t="s">
        <v>156</v>
      </c>
      <c r="V4" s="25" t="s">
        <v>156</v>
      </c>
      <c r="W4" s="25" t="s">
        <v>156</v>
      </c>
      <c r="X4" s="25" t="s">
        <v>156</v>
      </c>
      <c r="Y4" s="187" t="s">
        <v>168</v>
      </c>
      <c r="Z4" s="187" t="s">
        <v>400</v>
      </c>
      <c r="AA4" s="187" t="s">
        <v>679</v>
      </c>
      <c r="AB4" s="187" t="s">
        <v>364</v>
      </c>
      <c r="AC4" s="25" t="s">
        <v>363</v>
      </c>
      <c r="AD4" s="25" t="s">
        <v>156</v>
      </c>
      <c r="AE4" s="25" t="s">
        <v>1292</v>
      </c>
      <c r="AF4" s="25" t="s">
        <v>156</v>
      </c>
      <c r="AG4" s="25" t="s">
        <v>156</v>
      </c>
      <c r="AH4" s="25" t="s">
        <v>1303</v>
      </c>
      <c r="AI4" s="25" t="s">
        <v>156</v>
      </c>
      <c r="AJ4" s="25" t="s">
        <v>156</v>
      </c>
      <c r="AK4" s="25" t="s">
        <v>1278</v>
      </c>
      <c r="AL4" s="25" t="s">
        <v>156</v>
      </c>
      <c r="AM4" s="25" t="s">
        <v>156</v>
      </c>
      <c r="AN4" s="25" t="s">
        <v>156</v>
      </c>
      <c r="AO4" s="25" t="s">
        <v>156</v>
      </c>
      <c r="AP4" s="25" t="s">
        <v>156</v>
      </c>
      <c r="AQ4" s="25" t="s">
        <v>156</v>
      </c>
      <c r="AR4" s="25" t="s">
        <v>156</v>
      </c>
      <c r="AS4" s="25" t="s">
        <v>156</v>
      </c>
      <c r="AT4" s="193" t="s">
        <v>1304</v>
      </c>
      <c r="AU4" s="25">
        <v>4</v>
      </c>
      <c r="AV4" s="25" t="s">
        <v>347</v>
      </c>
      <c r="AW4" s="25" t="s">
        <v>347</v>
      </c>
      <c r="AX4" s="25" t="s">
        <v>347</v>
      </c>
      <c r="AY4" s="25" t="s">
        <v>347</v>
      </c>
      <c r="AZ4" s="25" t="s">
        <v>347</v>
      </c>
      <c r="BA4" s="25" t="s">
        <v>347</v>
      </c>
      <c r="BB4" s="25" t="s">
        <v>347</v>
      </c>
      <c r="BC4" s="25" t="s">
        <v>347</v>
      </c>
      <c r="BD4" s="25" t="s">
        <v>347</v>
      </c>
      <c r="BE4" s="25" t="s">
        <v>347</v>
      </c>
      <c r="BF4" s="25" t="s">
        <v>347</v>
      </c>
      <c r="BG4" s="25" t="s">
        <v>347</v>
      </c>
      <c r="BH4" s="25" t="s">
        <v>347</v>
      </c>
      <c r="BI4" s="25" t="s">
        <v>347</v>
      </c>
      <c r="BJ4" s="25" t="s">
        <v>347</v>
      </c>
      <c r="BK4" s="25" t="s">
        <v>347</v>
      </c>
      <c r="BL4" s="25" t="s">
        <v>347</v>
      </c>
      <c r="BM4" s="25" t="s">
        <v>347</v>
      </c>
      <c r="BN4" s="25" t="s">
        <v>347</v>
      </c>
      <c r="BO4" s="25" t="s">
        <v>347</v>
      </c>
      <c r="BP4" s="25" t="s">
        <v>347</v>
      </c>
      <c r="BQ4" s="25" t="s">
        <v>347</v>
      </c>
      <c r="BR4" s="25" t="s">
        <v>347</v>
      </c>
      <c r="BS4" s="58" t="s">
        <v>347</v>
      </c>
      <c r="BT4" s="1"/>
      <c r="BU4" s="1"/>
      <c r="BV4" s="1"/>
      <c r="BW4" s="1"/>
    </row>
    <row r="5" spans="1:75" x14ac:dyDescent="0.35">
      <c r="A5" s="188"/>
      <c r="B5" s="189"/>
      <c r="C5" s="187"/>
      <c r="D5" s="187"/>
      <c r="E5" s="187"/>
      <c r="F5" s="190"/>
      <c r="G5" s="187"/>
      <c r="H5" s="187"/>
      <c r="I5" s="52" t="s">
        <v>1305</v>
      </c>
      <c r="J5" s="187"/>
      <c r="K5" s="59" t="s">
        <v>156</v>
      </c>
      <c r="L5" s="59" t="s">
        <v>156</v>
      </c>
      <c r="M5" s="59" t="s">
        <v>156</v>
      </c>
      <c r="N5" s="52" t="s">
        <v>156</v>
      </c>
      <c r="O5" s="52" t="s">
        <v>156</v>
      </c>
      <c r="P5" s="52" t="s">
        <v>156</v>
      </c>
      <c r="Q5" s="52" t="s">
        <v>156</v>
      </c>
      <c r="R5" s="52" t="s">
        <v>156</v>
      </c>
      <c r="S5" s="52" t="s">
        <v>156</v>
      </c>
      <c r="T5" s="52" t="s">
        <v>156</v>
      </c>
      <c r="U5" s="52" t="s">
        <v>156</v>
      </c>
      <c r="V5" s="52" t="s">
        <v>156</v>
      </c>
      <c r="W5" s="52" t="s">
        <v>156</v>
      </c>
      <c r="X5" s="52" t="s">
        <v>156</v>
      </c>
      <c r="Y5" s="187"/>
      <c r="Z5" s="187"/>
      <c r="AA5" s="187"/>
      <c r="AB5" s="187"/>
      <c r="AC5" s="52" t="s">
        <v>156</v>
      </c>
      <c r="AD5" s="25" t="s">
        <v>156</v>
      </c>
      <c r="AE5" s="25" t="s">
        <v>156</v>
      </c>
      <c r="AF5" s="25" t="s">
        <v>156</v>
      </c>
      <c r="AG5" s="25" t="s">
        <v>156</v>
      </c>
      <c r="AH5" s="25" t="s">
        <v>156</v>
      </c>
      <c r="AI5" s="25" t="s">
        <v>156</v>
      </c>
      <c r="AJ5" s="25" t="s">
        <v>156</v>
      </c>
      <c r="AK5" s="25" t="s">
        <v>1278</v>
      </c>
      <c r="AL5" s="25" t="s">
        <v>156</v>
      </c>
      <c r="AM5" s="25" t="s">
        <v>156</v>
      </c>
      <c r="AN5" s="25" t="s">
        <v>156</v>
      </c>
      <c r="AO5" s="25" t="s">
        <v>156</v>
      </c>
      <c r="AP5" s="25" t="s">
        <v>156</v>
      </c>
      <c r="AQ5" s="25" t="s">
        <v>156</v>
      </c>
      <c r="AR5" s="25" t="s">
        <v>156</v>
      </c>
      <c r="AS5" s="25" t="s">
        <v>156</v>
      </c>
      <c r="AT5" s="193"/>
      <c r="AU5" s="25">
        <v>4</v>
      </c>
      <c r="AV5" s="25" t="s">
        <v>347</v>
      </c>
      <c r="AW5" s="25" t="s">
        <v>347</v>
      </c>
      <c r="AX5" s="25" t="s">
        <v>347</v>
      </c>
      <c r="AY5" s="25" t="s">
        <v>347</v>
      </c>
      <c r="AZ5" s="25" t="s">
        <v>347</v>
      </c>
      <c r="BA5" s="25" t="s">
        <v>347</v>
      </c>
      <c r="BB5" s="25" t="s">
        <v>347</v>
      </c>
      <c r="BC5" s="25" t="s">
        <v>347</v>
      </c>
      <c r="BD5" s="25" t="s">
        <v>347</v>
      </c>
      <c r="BE5" s="25" t="s">
        <v>347</v>
      </c>
      <c r="BF5" s="25" t="s">
        <v>347</v>
      </c>
      <c r="BG5" s="25" t="s">
        <v>347</v>
      </c>
      <c r="BH5" s="25" t="s">
        <v>347</v>
      </c>
      <c r="BI5" s="25" t="s">
        <v>347</v>
      </c>
      <c r="BJ5" s="25" t="s">
        <v>347</v>
      </c>
      <c r="BK5" s="25" t="s">
        <v>347</v>
      </c>
      <c r="BL5" s="25" t="s">
        <v>347</v>
      </c>
      <c r="BM5" s="25" t="s">
        <v>347</v>
      </c>
      <c r="BN5" s="25" t="s">
        <v>347</v>
      </c>
      <c r="BO5" s="25" t="s">
        <v>347</v>
      </c>
      <c r="BP5" s="25" t="s">
        <v>347</v>
      </c>
      <c r="BQ5" s="25" t="s">
        <v>347</v>
      </c>
      <c r="BR5" s="25" t="s">
        <v>347</v>
      </c>
      <c r="BS5" s="58" t="s">
        <v>347</v>
      </c>
      <c r="BT5" s="56"/>
      <c r="BU5" s="56"/>
      <c r="BV5" s="56"/>
      <c r="BW5" s="56"/>
    </row>
    <row r="6" spans="1:75" x14ac:dyDescent="0.35">
      <c r="A6" s="188" t="s">
        <v>1306</v>
      </c>
      <c r="B6" s="189" t="s">
        <v>156</v>
      </c>
      <c r="C6" s="189" t="s">
        <v>156</v>
      </c>
      <c r="D6" s="189" t="s">
        <v>381</v>
      </c>
      <c r="E6" s="189" t="s">
        <v>156</v>
      </c>
      <c r="F6" s="190" t="s">
        <v>1307</v>
      </c>
      <c r="G6" s="187" t="s">
        <v>347</v>
      </c>
      <c r="H6" s="187" t="s">
        <v>346</v>
      </c>
      <c r="I6" s="52" t="s">
        <v>1308</v>
      </c>
      <c r="J6" s="187" t="s">
        <v>368</v>
      </c>
      <c r="K6" s="57" t="s">
        <v>159</v>
      </c>
      <c r="L6" s="57" t="s">
        <v>349</v>
      </c>
      <c r="M6" s="57" t="s">
        <v>156</v>
      </c>
      <c r="N6" s="25" t="s">
        <v>156</v>
      </c>
      <c r="O6" s="25" t="s">
        <v>346</v>
      </c>
      <c r="P6" s="25" t="s">
        <v>346</v>
      </c>
      <c r="Q6" s="25" t="s">
        <v>369</v>
      </c>
      <c r="R6" s="25" t="s">
        <v>156</v>
      </c>
      <c r="S6" s="25" t="s">
        <v>156</v>
      </c>
      <c r="T6" s="25" t="s">
        <v>156</v>
      </c>
      <c r="U6" s="25" t="s">
        <v>156</v>
      </c>
      <c r="V6" s="25" t="s">
        <v>156</v>
      </c>
      <c r="W6" s="52" t="s">
        <v>156</v>
      </c>
      <c r="X6" s="52" t="s">
        <v>156</v>
      </c>
      <c r="Y6" s="187" t="s">
        <v>168</v>
      </c>
      <c r="Z6" s="187" t="s">
        <v>344</v>
      </c>
      <c r="AA6" s="187" t="s">
        <v>679</v>
      </c>
      <c r="AB6" s="187" t="s">
        <v>364</v>
      </c>
      <c r="AC6" s="52" t="s">
        <v>950</v>
      </c>
      <c r="AD6" s="52" t="s">
        <v>1292</v>
      </c>
      <c r="AE6" s="52" t="s">
        <v>1309</v>
      </c>
      <c r="AF6" s="25" t="s">
        <v>156</v>
      </c>
      <c r="AG6" s="25" t="s">
        <v>156</v>
      </c>
      <c r="AH6" s="25" t="s">
        <v>1310</v>
      </c>
      <c r="AI6" s="25" t="s">
        <v>156</v>
      </c>
      <c r="AJ6" s="25" t="s">
        <v>156</v>
      </c>
      <c r="AK6" s="25" t="s">
        <v>1278</v>
      </c>
      <c r="AL6" s="25" t="s">
        <v>156</v>
      </c>
      <c r="AM6" s="25" t="s">
        <v>156</v>
      </c>
      <c r="AN6" s="25" t="s">
        <v>156</v>
      </c>
      <c r="AO6" s="25" t="s">
        <v>156</v>
      </c>
      <c r="AP6" s="25" t="s">
        <v>156</v>
      </c>
      <c r="AQ6" s="25" t="s">
        <v>156</v>
      </c>
      <c r="AR6" s="25" t="s">
        <v>156</v>
      </c>
      <c r="AS6" s="25" t="s">
        <v>156</v>
      </c>
      <c r="AT6" s="193"/>
      <c r="AU6" s="25">
        <v>4</v>
      </c>
      <c r="AV6" s="25" t="s">
        <v>347</v>
      </c>
      <c r="AW6" s="25" t="s">
        <v>347</v>
      </c>
      <c r="AX6" s="25" t="s">
        <v>347</v>
      </c>
      <c r="AY6" s="25" t="s">
        <v>347</v>
      </c>
      <c r="AZ6" s="25" t="s">
        <v>347</v>
      </c>
      <c r="BA6" s="25" t="s">
        <v>347</v>
      </c>
      <c r="BB6" s="25" t="s">
        <v>347</v>
      </c>
      <c r="BC6" s="25" t="s">
        <v>347</v>
      </c>
      <c r="BD6" s="25" t="s">
        <v>347</v>
      </c>
      <c r="BE6" s="25" t="s">
        <v>347</v>
      </c>
      <c r="BF6" s="25" t="s">
        <v>347</v>
      </c>
      <c r="BG6" s="25" t="s">
        <v>347</v>
      </c>
      <c r="BH6" s="25" t="s">
        <v>347</v>
      </c>
      <c r="BI6" s="25" t="s">
        <v>347</v>
      </c>
      <c r="BJ6" s="25" t="s">
        <v>347</v>
      </c>
      <c r="BK6" s="25" t="s">
        <v>347</v>
      </c>
      <c r="BL6" s="25" t="s">
        <v>347</v>
      </c>
      <c r="BM6" s="25" t="s">
        <v>347</v>
      </c>
      <c r="BN6" s="25" t="s">
        <v>347</v>
      </c>
      <c r="BO6" s="25" t="s">
        <v>347</v>
      </c>
      <c r="BP6" s="25" t="s">
        <v>347</v>
      </c>
      <c r="BQ6" s="25" t="s">
        <v>347</v>
      </c>
      <c r="BR6" s="25" t="s">
        <v>347</v>
      </c>
      <c r="BS6" s="58" t="s">
        <v>347</v>
      </c>
      <c r="BT6" s="56"/>
      <c r="BU6" s="56"/>
      <c r="BV6" s="56"/>
      <c r="BW6" s="56"/>
    </row>
    <row r="7" spans="1:75" x14ac:dyDescent="0.35">
      <c r="A7" s="188"/>
      <c r="B7" s="189"/>
      <c r="C7" s="189"/>
      <c r="D7" s="189"/>
      <c r="E7" s="189"/>
      <c r="F7" s="190"/>
      <c r="G7" s="187"/>
      <c r="H7" s="187"/>
      <c r="I7" s="52" t="s">
        <v>1311</v>
      </c>
      <c r="J7" s="187"/>
      <c r="K7" s="59" t="s">
        <v>156</v>
      </c>
      <c r="L7" s="59" t="s">
        <v>156</v>
      </c>
      <c r="M7" s="59" t="s">
        <v>156</v>
      </c>
      <c r="N7" s="52" t="s">
        <v>156</v>
      </c>
      <c r="O7" s="25" t="s">
        <v>346</v>
      </c>
      <c r="P7" s="25" t="s">
        <v>346</v>
      </c>
      <c r="Q7" s="52" t="s">
        <v>156</v>
      </c>
      <c r="R7" s="25" t="s">
        <v>156</v>
      </c>
      <c r="S7" s="25" t="s">
        <v>156</v>
      </c>
      <c r="T7" s="25" t="s">
        <v>156</v>
      </c>
      <c r="U7" s="25" t="s">
        <v>156</v>
      </c>
      <c r="V7" s="25" t="s">
        <v>156</v>
      </c>
      <c r="W7" s="52" t="s">
        <v>156</v>
      </c>
      <c r="X7" s="52" t="s">
        <v>156</v>
      </c>
      <c r="Y7" s="187"/>
      <c r="Z7" s="187"/>
      <c r="AA7" s="187"/>
      <c r="AB7" s="187"/>
      <c r="AC7" s="52" t="s">
        <v>156</v>
      </c>
      <c r="AD7" s="52" t="s">
        <v>156</v>
      </c>
      <c r="AE7" s="52" t="s">
        <v>156</v>
      </c>
      <c r="AF7" s="25" t="s">
        <v>156</v>
      </c>
      <c r="AG7" s="25" t="s">
        <v>156</v>
      </c>
      <c r="AH7" s="25" t="s">
        <v>156</v>
      </c>
      <c r="AI7" s="25" t="s">
        <v>156</v>
      </c>
      <c r="AJ7" s="25" t="s">
        <v>156</v>
      </c>
      <c r="AK7" s="25" t="s">
        <v>1278</v>
      </c>
      <c r="AL7" s="25" t="s">
        <v>156</v>
      </c>
      <c r="AM7" s="25" t="s">
        <v>156</v>
      </c>
      <c r="AN7" s="25" t="s">
        <v>156</v>
      </c>
      <c r="AO7" s="25" t="s">
        <v>156</v>
      </c>
      <c r="AP7" s="25" t="s">
        <v>156</v>
      </c>
      <c r="AQ7" s="25" t="s">
        <v>156</v>
      </c>
      <c r="AR7" s="25" t="s">
        <v>156</v>
      </c>
      <c r="AS7" s="25" t="s">
        <v>156</v>
      </c>
      <c r="AT7" s="193"/>
      <c r="AU7" s="25">
        <v>4</v>
      </c>
      <c r="AV7" s="25" t="s">
        <v>347</v>
      </c>
      <c r="AW7" s="25" t="s">
        <v>347</v>
      </c>
      <c r="AX7" s="25" t="s">
        <v>347</v>
      </c>
      <c r="AY7" s="25" t="s">
        <v>347</v>
      </c>
      <c r="AZ7" s="25" t="s">
        <v>347</v>
      </c>
      <c r="BA7" s="25" t="s">
        <v>347</v>
      </c>
      <c r="BB7" s="25" t="s">
        <v>347</v>
      </c>
      <c r="BC7" s="25" t="s">
        <v>347</v>
      </c>
      <c r="BD7" s="25" t="s">
        <v>347</v>
      </c>
      <c r="BE7" s="25" t="s">
        <v>347</v>
      </c>
      <c r="BF7" s="25" t="s">
        <v>347</v>
      </c>
      <c r="BG7" s="25" t="s">
        <v>347</v>
      </c>
      <c r="BH7" s="25" t="s">
        <v>347</v>
      </c>
      <c r="BI7" s="25" t="s">
        <v>347</v>
      </c>
      <c r="BJ7" s="25" t="s">
        <v>347</v>
      </c>
      <c r="BK7" s="25" t="s">
        <v>347</v>
      </c>
      <c r="BL7" s="25" t="s">
        <v>347</v>
      </c>
      <c r="BM7" s="25" t="s">
        <v>347</v>
      </c>
      <c r="BN7" s="25" t="s">
        <v>347</v>
      </c>
      <c r="BO7" s="25" t="s">
        <v>347</v>
      </c>
      <c r="BP7" s="25" t="s">
        <v>347</v>
      </c>
      <c r="BQ7" s="25" t="s">
        <v>347</v>
      </c>
      <c r="BR7" s="25" t="s">
        <v>347</v>
      </c>
      <c r="BS7" s="58" t="s">
        <v>347</v>
      </c>
      <c r="BT7" s="56"/>
      <c r="BU7" s="56"/>
      <c r="BV7" s="56"/>
      <c r="BW7" s="56"/>
    </row>
    <row r="8" spans="1:75" x14ac:dyDescent="0.35">
      <c r="A8" s="188" t="s">
        <v>1312</v>
      </c>
      <c r="B8" s="189" t="s">
        <v>381</v>
      </c>
      <c r="C8" s="189" t="s">
        <v>156</v>
      </c>
      <c r="D8" s="189" t="s">
        <v>381</v>
      </c>
      <c r="E8" s="189" t="s">
        <v>156</v>
      </c>
      <c r="F8" s="190" t="s">
        <v>1313</v>
      </c>
      <c r="G8" s="187" t="s">
        <v>347</v>
      </c>
      <c r="H8" s="187" t="s">
        <v>346</v>
      </c>
      <c r="I8" s="52" t="s">
        <v>1308</v>
      </c>
      <c r="J8" s="187" t="s">
        <v>1286</v>
      </c>
      <c r="K8" s="52" t="s">
        <v>159</v>
      </c>
      <c r="L8" s="52" t="s">
        <v>442</v>
      </c>
      <c r="M8" s="52" t="s">
        <v>156</v>
      </c>
      <c r="N8" s="52" t="s">
        <v>156</v>
      </c>
      <c r="O8" s="25" t="s">
        <v>346</v>
      </c>
      <c r="P8" s="25" t="s">
        <v>346</v>
      </c>
      <c r="Q8" s="52" t="s">
        <v>444</v>
      </c>
      <c r="R8" s="25" t="s">
        <v>156</v>
      </c>
      <c r="S8" s="25" t="s">
        <v>156</v>
      </c>
      <c r="T8" s="25" t="s">
        <v>156</v>
      </c>
      <c r="U8" s="25" t="s">
        <v>156</v>
      </c>
      <c r="V8" s="25" t="s">
        <v>156</v>
      </c>
      <c r="W8" s="52" t="s">
        <v>156</v>
      </c>
      <c r="X8" s="52" t="s">
        <v>156</v>
      </c>
      <c r="Y8" s="187" t="s">
        <v>168</v>
      </c>
      <c r="Z8" s="187" t="s">
        <v>400</v>
      </c>
      <c r="AA8" s="187" t="s">
        <v>679</v>
      </c>
      <c r="AB8" s="187" t="s">
        <v>364</v>
      </c>
      <c r="AC8" s="25" t="s">
        <v>363</v>
      </c>
      <c r="AD8" s="25" t="s">
        <v>1291</v>
      </c>
      <c r="AE8" s="25" t="s">
        <v>1292</v>
      </c>
      <c r="AF8" s="25" t="s">
        <v>1310</v>
      </c>
      <c r="AG8" s="25" t="s">
        <v>1314</v>
      </c>
      <c r="AH8" s="25" t="s">
        <v>1303</v>
      </c>
      <c r="AI8" s="25" t="s">
        <v>156</v>
      </c>
      <c r="AJ8" s="25" t="s">
        <v>156</v>
      </c>
      <c r="AK8" s="25" t="s">
        <v>1278</v>
      </c>
      <c r="AL8" s="25" t="s">
        <v>156</v>
      </c>
      <c r="AM8" s="25" t="s">
        <v>156</v>
      </c>
      <c r="AN8" s="25" t="s">
        <v>156</v>
      </c>
      <c r="AO8" s="25" t="s">
        <v>156</v>
      </c>
      <c r="AP8" s="25" t="s">
        <v>156</v>
      </c>
      <c r="AQ8" s="25" t="s">
        <v>156</v>
      </c>
      <c r="AR8" s="25" t="s">
        <v>156</v>
      </c>
      <c r="AS8" s="25" t="s">
        <v>156</v>
      </c>
      <c r="AT8" s="193"/>
      <c r="AU8" s="25">
        <v>4</v>
      </c>
      <c r="AV8" s="25" t="s">
        <v>347</v>
      </c>
      <c r="AW8" s="25" t="s">
        <v>347</v>
      </c>
      <c r="AX8" s="25" t="s">
        <v>347</v>
      </c>
      <c r="AY8" s="25" t="s">
        <v>347</v>
      </c>
      <c r="AZ8" s="25" t="s">
        <v>347</v>
      </c>
      <c r="BA8" s="25" t="s">
        <v>347</v>
      </c>
      <c r="BB8" s="25" t="s">
        <v>347</v>
      </c>
      <c r="BC8" s="25" t="s">
        <v>347</v>
      </c>
      <c r="BD8" s="25" t="s">
        <v>347</v>
      </c>
      <c r="BE8" s="25" t="s">
        <v>347</v>
      </c>
      <c r="BF8" s="25" t="s">
        <v>347</v>
      </c>
      <c r="BG8" s="25" t="s">
        <v>347</v>
      </c>
      <c r="BH8" s="25" t="s">
        <v>347</v>
      </c>
      <c r="BI8" s="25" t="s">
        <v>347</v>
      </c>
      <c r="BJ8" s="25" t="s">
        <v>347</v>
      </c>
      <c r="BK8" s="25" t="s">
        <v>347</v>
      </c>
      <c r="BL8" s="25" t="s">
        <v>347</v>
      </c>
      <c r="BM8" s="25" t="s">
        <v>347</v>
      </c>
      <c r="BN8" s="25" t="s">
        <v>347</v>
      </c>
      <c r="BO8" s="25" t="s">
        <v>347</v>
      </c>
      <c r="BP8" s="25" t="s">
        <v>347</v>
      </c>
      <c r="BQ8" s="25" t="s">
        <v>347</v>
      </c>
      <c r="BR8" s="25" t="s">
        <v>347</v>
      </c>
      <c r="BS8" s="58" t="s">
        <v>347</v>
      </c>
      <c r="BT8" s="56"/>
      <c r="BU8" s="56"/>
      <c r="BV8" s="56"/>
      <c r="BW8" s="56"/>
    </row>
    <row r="9" spans="1:75" x14ac:dyDescent="0.35">
      <c r="A9" s="188"/>
      <c r="B9" s="189"/>
      <c r="C9" s="189"/>
      <c r="D9" s="189"/>
      <c r="E9" s="189"/>
      <c r="F9" s="190"/>
      <c r="G9" s="187"/>
      <c r="H9" s="187"/>
      <c r="I9" s="52" t="s">
        <v>1305</v>
      </c>
      <c r="J9" s="187"/>
      <c r="K9" s="52" t="s">
        <v>156</v>
      </c>
      <c r="L9" s="52" t="s">
        <v>156</v>
      </c>
      <c r="M9" s="52" t="s">
        <v>156</v>
      </c>
      <c r="N9" s="52" t="s">
        <v>156</v>
      </c>
      <c r="O9" s="25" t="s">
        <v>346</v>
      </c>
      <c r="P9" s="25" t="s">
        <v>346</v>
      </c>
      <c r="Q9" s="52" t="s">
        <v>156</v>
      </c>
      <c r="R9" s="25" t="s">
        <v>156</v>
      </c>
      <c r="S9" s="25" t="s">
        <v>156</v>
      </c>
      <c r="T9" s="25" t="s">
        <v>156</v>
      </c>
      <c r="U9" s="25" t="s">
        <v>156</v>
      </c>
      <c r="V9" s="25" t="s">
        <v>156</v>
      </c>
      <c r="W9" s="52" t="s">
        <v>156</v>
      </c>
      <c r="X9" s="52" t="s">
        <v>156</v>
      </c>
      <c r="Y9" s="187"/>
      <c r="Z9" s="187"/>
      <c r="AA9" s="187"/>
      <c r="AB9" s="187"/>
      <c r="AC9" s="52" t="s">
        <v>156</v>
      </c>
      <c r="AD9" s="25" t="s">
        <v>156</v>
      </c>
      <c r="AE9" s="25" t="s">
        <v>156</v>
      </c>
      <c r="AF9" s="25" t="s">
        <v>156</v>
      </c>
      <c r="AG9" s="25" t="s">
        <v>156</v>
      </c>
      <c r="AH9" s="25" t="s">
        <v>156</v>
      </c>
      <c r="AI9" s="25" t="s">
        <v>156</v>
      </c>
      <c r="AJ9" s="25" t="s">
        <v>156</v>
      </c>
      <c r="AK9" s="25" t="s">
        <v>1278</v>
      </c>
      <c r="AL9" s="25" t="s">
        <v>156</v>
      </c>
      <c r="AM9" s="25" t="s">
        <v>156</v>
      </c>
      <c r="AN9" s="25" t="s">
        <v>156</v>
      </c>
      <c r="AO9" s="25" t="s">
        <v>156</v>
      </c>
      <c r="AP9" s="25" t="s">
        <v>156</v>
      </c>
      <c r="AQ9" s="25" t="s">
        <v>156</v>
      </c>
      <c r="AR9" s="25" t="s">
        <v>156</v>
      </c>
      <c r="AS9" s="25" t="s">
        <v>156</v>
      </c>
      <c r="AT9" s="193"/>
      <c r="AU9" s="25">
        <v>4</v>
      </c>
      <c r="AV9" s="25" t="s">
        <v>347</v>
      </c>
      <c r="AW9" s="25" t="s">
        <v>347</v>
      </c>
      <c r="AX9" s="25" t="s">
        <v>347</v>
      </c>
      <c r="AY9" s="25" t="s">
        <v>347</v>
      </c>
      <c r="AZ9" s="25" t="s">
        <v>347</v>
      </c>
      <c r="BA9" s="25" t="s">
        <v>347</v>
      </c>
      <c r="BB9" s="25" t="s">
        <v>347</v>
      </c>
      <c r="BC9" s="25" t="s">
        <v>347</v>
      </c>
      <c r="BD9" s="25" t="s">
        <v>347</v>
      </c>
      <c r="BE9" s="25" t="s">
        <v>347</v>
      </c>
      <c r="BF9" s="25" t="s">
        <v>347</v>
      </c>
      <c r="BG9" s="25" t="s">
        <v>347</v>
      </c>
      <c r="BH9" s="25" t="s">
        <v>347</v>
      </c>
      <c r="BI9" s="25" t="s">
        <v>347</v>
      </c>
      <c r="BJ9" s="25" t="s">
        <v>347</v>
      </c>
      <c r="BK9" s="25" t="s">
        <v>347</v>
      </c>
      <c r="BL9" s="25" t="s">
        <v>347</v>
      </c>
      <c r="BM9" s="25" t="s">
        <v>347</v>
      </c>
      <c r="BN9" s="25" t="s">
        <v>347</v>
      </c>
      <c r="BO9" s="25" t="s">
        <v>347</v>
      </c>
      <c r="BP9" s="25" t="s">
        <v>347</v>
      </c>
      <c r="BQ9" s="25" t="s">
        <v>347</v>
      </c>
      <c r="BR9" s="25" t="s">
        <v>347</v>
      </c>
      <c r="BS9" s="58" t="s">
        <v>347</v>
      </c>
      <c r="BT9" s="56"/>
      <c r="BU9" s="56"/>
      <c r="BV9" s="56"/>
      <c r="BW9" s="56"/>
    </row>
    <row r="10" spans="1:75" x14ac:dyDescent="0.35">
      <c r="A10" s="188" t="s">
        <v>1315</v>
      </c>
      <c r="B10" s="189" t="s">
        <v>156</v>
      </c>
      <c r="C10" s="189" t="s">
        <v>156</v>
      </c>
      <c r="D10" s="189" t="s">
        <v>381</v>
      </c>
      <c r="E10" s="189" t="s">
        <v>156</v>
      </c>
      <c r="F10" s="190" t="s">
        <v>1316</v>
      </c>
      <c r="G10" s="187" t="s">
        <v>346</v>
      </c>
      <c r="H10" s="187" t="s">
        <v>347</v>
      </c>
      <c r="I10" s="52" t="s">
        <v>1308</v>
      </c>
      <c r="J10" s="187" t="s">
        <v>368</v>
      </c>
      <c r="K10" s="52" t="s">
        <v>159</v>
      </c>
      <c r="L10" s="52" t="s">
        <v>472</v>
      </c>
      <c r="M10" s="52" t="s">
        <v>156</v>
      </c>
      <c r="N10" s="52" t="s">
        <v>156</v>
      </c>
      <c r="O10" s="25" t="s">
        <v>346</v>
      </c>
      <c r="P10" s="25" t="s">
        <v>346</v>
      </c>
      <c r="Q10" s="52" t="s">
        <v>506</v>
      </c>
      <c r="R10" s="25" t="s">
        <v>156</v>
      </c>
      <c r="S10" s="25" t="s">
        <v>156</v>
      </c>
      <c r="T10" s="25" t="s">
        <v>156</v>
      </c>
      <c r="U10" s="25" t="s">
        <v>156</v>
      </c>
      <c r="V10" s="25" t="s">
        <v>156</v>
      </c>
      <c r="W10" s="52" t="s">
        <v>156</v>
      </c>
      <c r="X10" s="52" t="s">
        <v>156</v>
      </c>
      <c r="Y10" s="187" t="s">
        <v>168</v>
      </c>
      <c r="Z10" s="187" t="s">
        <v>344</v>
      </c>
      <c r="AA10" s="187" t="s">
        <v>679</v>
      </c>
      <c r="AB10" s="187" t="s">
        <v>364</v>
      </c>
      <c r="AC10" s="52" t="s">
        <v>950</v>
      </c>
      <c r="AD10" s="25" t="s">
        <v>1289</v>
      </c>
      <c r="AE10" s="25" t="s">
        <v>1293</v>
      </c>
      <c r="AF10" s="25" t="s">
        <v>156</v>
      </c>
      <c r="AG10" s="25" t="s">
        <v>156</v>
      </c>
      <c r="AH10" s="25" t="s">
        <v>156</v>
      </c>
      <c r="AI10" s="25" t="s">
        <v>156</v>
      </c>
      <c r="AJ10" s="25" t="s">
        <v>156</v>
      </c>
      <c r="AK10" s="25" t="s">
        <v>1278</v>
      </c>
      <c r="AL10" s="25" t="s">
        <v>156</v>
      </c>
      <c r="AM10" s="25" t="s">
        <v>156</v>
      </c>
      <c r="AN10" s="25" t="s">
        <v>156</v>
      </c>
      <c r="AO10" s="25" t="s">
        <v>156</v>
      </c>
      <c r="AP10" s="25" t="s">
        <v>156</v>
      </c>
      <c r="AQ10" s="25" t="s">
        <v>156</v>
      </c>
      <c r="AR10" s="25" t="s">
        <v>156</v>
      </c>
      <c r="AS10" s="25" t="s">
        <v>156</v>
      </c>
      <c r="AT10" s="193"/>
      <c r="AU10" s="25">
        <v>4</v>
      </c>
      <c r="AV10" s="25" t="s">
        <v>347</v>
      </c>
      <c r="AW10" s="25" t="s">
        <v>347</v>
      </c>
      <c r="AX10" s="25" t="s">
        <v>347</v>
      </c>
      <c r="AY10" s="25" t="s">
        <v>347</v>
      </c>
      <c r="AZ10" s="25" t="s">
        <v>347</v>
      </c>
      <c r="BA10" s="25" t="s">
        <v>347</v>
      </c>
      <c r="BB10" s="25" t="s">
        <v>347</v>
      </c>
      <c r="BC10" s="25" t="s">
        <v>347</v>
      </c>
      <c r="BD10" s="25" t="s">
        <v>347</v>
      </c>
      <c r="BE10" s="25" t="s">
        <v>347</v>
      </c>
      <c r="BF10" s="25" t="s">
        <v>347</v>
      </c>
      <c r="BG10" s="25" t="s">
        <v>347</v>
      </c>
      <c r="BH10" s="25" t="s">
        <v>347</v>
      </c>
      <c r="BI10" s="25" t="s">
        <v>347</v>
      </c>
      <c r="BJ10" s="25" t="s">
        <v>347</v>
      </c>
      <c r="BK10" s="25" t="s">
        <v>347</v>
      </c>
      <c r="BL10" s="25" t="s">
        <v>347</v>
      </c>
      <c r="BM10" s="25" t="s">
        <v>347</v>
      </c>
      <c r="BN10" s="25" t="s">
        <v>347</v>
      </c>
      <c r="BO10" s="25" t="s">
        <v>347</v>
      </c>
      <c r="BP10" s="25" t="s">
        <v>347</v>
      </c>
      <c r="BQ10" s="25" t="s">
        <v>347</v>
      </c>
      <c r="BR10" s="25" t="s">
        <v>347</v>
      </c>
      <c r="BS10" s="58" t="s">
        <v>347</v>
      </c>
      <c r="BT10" s="56"/>
      <c r="BU10" s="56"/>
      <c r="BV10" s="56"/>
      <c r="BW10" s="56"/>
    </row>
    <row r="11" spans="1:75" x14ac:dyDescent="0.35">
      <c r="A11" s="188"/>
      <c r="B11" s="189"/>
      <c r="C11" s="189"/>
      <c r="D11" s="189"/>
      <c r="E11" s="189"/>
      <c r="F11" s="190"/>
      <c r="G11" s="187"/>
      <c r="H11" s="187"/>
      <c r="I11" s="52" t="s">
        <v>1317</v>
      </c>
      <c r="J11" s="187"/>
      <c r="K11" s="52" t="s">
        <v>156</v>
      </c>
      <c r="L11" s="52" t="s">
        <v>156</v>
      </c>
      <c r="M11" s="52" t="s">
        <v>156</v>
      </c>
      <c r="N11" s="52" t="s">
        <v>156</v>
      </c>
      <c r="O11" s="25" t="s">
        <v>346</v>
      </c>
      <c r="P11" s="25" t="s">
        <v>346</v>
      </c>
      <c r="Q11" s="52" t="s">
        <v>156</v>
      </c>
      <c r="R11" s="25" t="s">
        <v>156</v>
      </c>
      <c r="S11" s="25" t="s">
        <v>156</v>
      </c>
      <c r="T11" s="25" t="s">
        <v>156</v>
      </c>
      <c r="U11" s="25" t="s">
        <v>156</v>
      </c>
      <c r="V11" s="25" t="s">
        <v>156</v>
      </c>
      <c r="W11" s="52" t="s">
        <v>156</v>
      </c>
      <c r="X11" s="52" t="s">
        <v>156</v>
      </c>
      <c r="Y11" s="187"/>
      <c r="Z11" s="187"/>
      <c r="AA11" s="187"/>
      <c r="AB11" s="187"/>
      <c r="AC11" s="52" t="s">
        <v>156</v>
      </c>
      <c r="AD11" s="25" t="s">
        <v>156</v>
      </c>
      <c r="AE11" s="25" t="s">
        <v>156</v>
      </c>
      <c r="AF11" s="25" t="s">
        <v>156</v>
      </c>
      <c r="AG11" s="25" t="s">
        <v>156</v>
      </c>
      <c r="AH11" s="25" t="s">
        <v>156</v>
      </c>
      <c r="AI11" s="25" t="s">
        <v>156</v>
      </c>
      <c r="AJ11" s="25" t="s">
        <v>156</v>
      </c>
      <c r="AK11" s="25" t="s">
        <v>1278</v>
      </c>
      <c r="AL11" s="25" t="s">
        <v>156</v>
      </c>
      <c r="AM11" s="25" t="s">
        <v>156</v>
      </c>
      <c r="AN11" s="25" t="s">
        <v>156</v>
      </c>
      <c r="AO11" s="25" t="s">
        <v>156</v>
      </c>
      <c r="AP11" s="25" t="s">
        <v>156</v>
      </c>
      <c r="AQ11" s="25" t="s">
        <v>156</v>
      </c>
      <c r="AR11" s="25" t="s">
        <v>156</v>
      </c>
      <c r="AS11" s="25" t="s">
        <v>156</v>
      </c>
      <c r="AT11" s="193"/>
      <c r="AU11" s="25">
        <v>4</v>
      </c>
      <c r="AV11" s="25" t="s">
        <v>347</v>
      </c>
      <c r="AW11" s="25" t="s">
        <v>347</v>
      </c>
      <c r="AX11" s="25" t="s">
        <v>347</v>
      </c>
      <c r="AY11" s="25" t="s">
        <v>347</v>
      </c>
      <c r="AZ11" s="25" t="s">
        <v>347</v>
      </c>
      <c r="BA11" s="25" t="s">
        <v>347</v>
      </c>
      <c r="BB11" s="25" t="s">
        <v>347</v>
      </c>
      <c r="BC11" s="25" t="s">
        <v>347</v>
      </c>
      <c r="BD11" s="25" t="s">
        <v>347</v>
      </c>
      <c r="BE11" s="25" t="s">
        <v>347</v>
      </c>
      <c r="BF11" s="25" t="s">
        <v>347</v>
      </c>
      <c r="BG11" s="25" t="s">
        <v>347</v>
      </c>
      <c r="BH11" s="25" t="s">
        <v>347</v>
      </c>
      <c r="BI11" s="25" t="s">
        <v>347</v>
      </c>
      <c r="BJ11" s="25" t="s">
        <v>347</v>
      </c>
      <c r="BK11" s="25" t="s">
        <v>347</v>
      </c>
      <c r="BL11" s="25" t="s">
        <v>347</v>
      </c>
      <c r="BM11" s="25" t="s">
        <v>347</v>
      </c>
      <c r="BN11" s="25" t="s">
        <v>347</v>
      </c>
      <c r="BO11" s="25" t="s">
        <v>347</v>
      </c>
      <c r="BP11" s="25" t="s">
        <v>347</v>
      </c>
      <c r="BQ11" s="25" t="s">
        <v>347</v>
      </c>
      <c r="BR11" s="25" t="s">
        <v>347</v>
      </c>
      <c r="BS11" s="58" t="s">
        <v>347</v>
      </c>
      <c r="BT11" s="56"/>
      <c r="BU11" s="56"/>
      <c r="BV11" s="56"/>
      <c r="BW11" s="56"/>
    </row>
    <row r="12" spans="1:75" x14ac:dyDescent="0.35">
      <c r="A12" s="188" t="s">
        <v>1318</v>
      </c>
      <c r="B12" s="189" t="s">
        <v>156</v>
      </c>
      <c r="C12" s="189" t="s">
        <v>156</v>
      </c>
      <c r="D12" s="189" t="s">
        <v>156</v>
      </c>
      <c r="E12" s="189" t="s">
        <v>1319</v>
      </c>
      <c r="F12" s="190" t="s">
        <v>1320</v>
      </c>
      <c r="G12" s="187" t="s">
        <v>347</v>
      </c>
      <c r="H12" s="187" t="s">
        <v>346</v>
      </c>
      <c r="I12" s="25" t="s">
        <v>952</v>
      </c>
      <c r="J12" s="187" t="s">
        <v>1286</v>
      </c>
      <c r="K12" s="52" t="s">
        <v>159</v>
      </c>
      <c r="L12" s="52" t="s">
        <v>539</v>
      </c>
      <c r="M12" s="52" t="s">
        <v>156</v>
      </c>
      <c r="N12" s="52" t="s">
        <v>156</v>
      </c>
      <c r="O12" s="25" t="s">
        <v>346</v>
      </c>
      <c r="P12" s="25" t="s">
        <v>346</v>
      </c>
      <c r="Q12" s="52" t="s">
        <v>543</v>
      </c>
      <c r="R12" s="25" t="s">
        <v>156</v>
      </c>
      <c r="S12" s="25" t="s">
        <v>156</v>
      </c>
      <c r="T12" s="25" t="s">
        <v>156</v>
      </c>
      <c r="U12" s="25" t="s">
        <v>156</v>
      </c>
      <c r="V12" s="25" t="s">
        <v>156</v>
      </c>
      <c r="W12" s="52" t="s">
        <v>156</v>
      </c>
      <c r="X12" s="52" t="s">
        <v>156</v>
      </c>
      <c r="Y12" s="187" t="s">
        <v>168</v>
      </c>
      <c r="Z12" s="187" t="s">
        <v>400</v>
      </c>
      <c r="AA12" s="187" t="s">
        <v>679</v>
      </c>
      <c r="AB12" s="187" t="s">
        <v>364</v>
      </c>
      <c r="AC12" s="52" t="s">
        <v>950</v>
      </c>
      <c r="AD12" s="25" t="s">
        <v>156</v>
      </c>
      <c r="AE12" s="25" t="s">
        <v>156</v>
      </c>
      <c r="AF12" s="25" t="s">
        <v>156</v>
      </c>
      <c r="AG12" s="25" t="s">
        <v>156</v>
      </c>
      <c r="AH12" s="25" t="s">
        <v>156</v>
      </c>
      <c r="AI12" s="25" t="s">
        <v>156</v>
      </c>
      <c r="AJ12" s="25" t="s">
        <v>156</v>
      </c>
      <c r="AK12" s="25" t="s">
        <v>1278</v>
      </c>
      <c r="AL12" s="25" t="s">
        <v>156</v>
      </c>
      <c r="AM12" s="25" t="s">
        <v>156</v>
      </c>
      <c r="AN12" s="25" t="s">
        <v>156</v>
      </c>
      <c r="AO12" s="25" t="s">
        <v>156</v>
      </c>
      <c r="AP12" s="25" t="s">
        <v>156</v>
      </c>
      <c r="AQ12" s="25" t="s">
        <v>156</v>
      </c>
      <c r="AR12" s="25" t="s">
        <v>156</v>
      </c>
      <c r="AS12" s="25" t="s">
        <v>156</v>
      </c>
      <c r="AT12" s="193"/>
      <c r="AU12" s="25">
        <v>4</v>
      </c>
      <c r="AV12" s="25" t="s">
        <v>347</v>
      </c>
      <c r="AW12" s="25" t="s">
        <v>347</v>
      </c>
      <c r="AX12" s="25" t="s">
        <v>347</v>
      </c>
      <c r="AY12" s="25" t="s">
        <v>347</v>
      </c>
      <c r="AZ12" s="25" t="s">
        <v>347</v>
      </c>
      <c r="BA12" s="25" t="s">
        <v>347</v>
      </c>
      <c r="BB12" s="25" t="s">
        <v>347</v>
      </c>
      <c r="BC12" s="25" t="s">
        <v>347</v>
      </c>
      <c r="BD12" s="25" t="s">
        <v>347</v>
      </c>
      <c r="BE12" s="25" t="s">
        <v>347</v>
      </c>
      <c r="BF12" s="25" t="s">
        <v>347</v>
      </c>
      <c r="BG12" s="25" t="s">
        <v>347</v>
      </c>
      <c r="BH12" s="25" t="s">
        <v>347</v>
      </c>
      <c r="BI12" s="25" t="s">
        <v>347</v>
      </c>
      <c r="BJ12" s="25" t="s">
        <v>347</v>
      </c>
      <c r="BK12" s="25" t="s">
        <v>347</v>
      </c>
      <c r="BL12" s="25" t="s">
        <v>347</v>
      </c>
      <c r="BM12" s="25" t="s">
        <v>347</v>
      </c>
      <c r="BN12" s="25" t="s">
        <v>347</v>
      </c>
      <c r="BO12" s="25" t="s">
        <v>347</v>
      </c>
      <c r="BP12" s="25" t="s">
        <v>347</v>
      </c>
      <c r="BQ12" s="25" t="s">
        <v>347</v>
      </c>
      <c r="BR12" s="25" t="s">
        <v>347</v>
      </c>
      <c r="BS12" s="58" t="s">
        <v>347</v>
      </c>
      <c r="BT12" s="56"/>
      <c r="BU12" s="56"/>
      <c r="BV12" s="56"/>
      <c r="BW12" s="56"/>
    </row>
    <row r="13" spans="1:75" x14ac:dyDescent="0.35">
      <c r="A13" s="188"/>
      <c r="B13" s="189"/>
      <c r="C13" s="189"/>
      <c r="D13" s="189"/>
      <c r="E13" s="189"/>
      <c r="F13" s="190"/>
      <c r="G13" s="187"/>
      <c r="H13" s="187"/>
      <c r="I13" s="52" t="s">
        <v>1317</v>
      </c>
      <c r="J13" s="187"/>
      <c r="K13" s="52" t="s">
        <v>156</v>
      </c>
      <c r="L13" s="52" t="s">
        <v>156</v>
      </c>
      <c r="M13" s="52" t="s">
        <v>156</v>
      </c>
      <c r="N13" s="52" t="s">
        <v>156</v>
      </c>
      <c r="O13" s="25" t="s">
        <v>346</v>
      </c>
      <c r="P13" s="25" t="s">
        <v>346</v>
      </c>
      <c r="Q13" s="52" t="s">
        <v>156</v>
      </c>
      <c r="R13" s="25" t="s">
        <v>156</v>
      </c>
      <c r="S13" s="25" t="s">
        <v>156</v>
      </c>
      <c r="T13" s="25" t="s">
        <v>156</v>
      </c>
      <c r="U13" s="25" t="s">
        <v>156</v>
      </c>
      <c r="V13" s="25" t="s">
        <v>156</v>
      </c>
      <c r="W13" s="52" t="s">
        <v>156</v>
      </c>
      <c r="X13" s="52" t="s">
        <v>156</v>
      </c>
      <c r="Y13" s="187"/>
      <c r="Z13" s="187"/>
      <c r="AA13" s="187"/>
      <c r="AB13" s="187"/>
      <c r="AC13" s="52" t="s">
        <v>156</v>
      </c>
      <c r="AD13" s="25" t="s">
        <v>156</v>
      </c>
      <c r="AE13" s="25" t="s">
        <v>156</v>
      </c>
      <c r="AF13" s="25" t="s">
        <v>156</v>
      </c>
      <c r="AG13" s="25" t="s">
        <v>156</v>
      </c>
      <c r="AH13" s="25" t="s">
        <v>156</v>
      </c>
      <c r="AI13" s="25" t="s">
        <v>156</v>
      </c>
      <c r="AJ13" s="25" t="s">
        <v>156</v>
      </c>
      <c r="AK13" s="25" t="s">
        <v>1278</v>
      </c>
      <c r="AL13" s="25" t="s">
        <v>156</v>
      </c>
      <c r="AM13" s="25" t="s">
        <v>156</v>
      </c>
      <c r="AN13" s="25" t="s">
        <v>156</v>
      </c>
      <c r="AO13" s="25" t="s">
        <v>156</v>
      </c>
      <c r="AP13" s="25" t="s">
        <v>156</v>
      </c>
      <c r="AQ13" s="25" t="s">
        <v>156</v>
      </c>
      <c r="AR13" s="25" t="s">
        <v>156</v>
      </c>
      <c r="AS13" s="25" t="s">
        <v>156</v>
      </c>
      <c r="AT13" s="193"/>
      <c r="AU13" s="25">
        <v>4</v>
      </c>
      <c r="AV13" s="25" t="s">
        <v>347</v>
      </c>
      <c r="AW13" s="25" t="s">
        <v>347</v>
      </c>
      <c r="AX13" s="25" t="s">
        <v>347</v>
      </c>
      <c r="AY13" s="25" t="s">
        <v>347</v>
      </c>
      <c r="AZ13" s="25" t="s">
        <v>347</v>
      </c>
      <c r="BA13" s="25" t="s">
        <v>347</v>
      </c>
      <c r="BB13" s="25" t="s">
        <v>347</v>
      </c>
      <c r="BC13" s="25" t="s">
        <v>347</v>
      </c>
      <c r="BD13" s="25" t="s">
        <v>347</v>
      </c>
      <c r="BE13" s="25" t="s">
        <v>347</v>
      </c>
      <c r="BF13" s="25" t="s">
        <v>347</v>
      </c>
      <c r="BG13" s="25" t="s">
        <v>347</v>
      </c>
      <c r="BH13" s="25" t="s">
        <v>347</v>
      </c>
      <c r="BI13" s="25" t="s">
        <v>347</v>
      </c>
      <c r="BJ13" s="25" t="s">
        <v>347</v>
      </c>
      <c r="BK13" s="25" t="s">
        <v>347</v>
      </c>
      <c r="BL13" s="25" t="s">
        <v>347</v>
      </c>
      <c r="BM13" s="25" t="s">
        <v>347</v>
      </c>
      <c r="BN13" s="25" t="s">
        <v>347</v>
      </c>
      <c r="BO13" s="25" t="s">
        <v>347</v>
      </c>
      <c r="BP13" s="25" t="s">
        <v>347</v>
      </c>
      <c r="BQ13" s="25" t="s">
        <v>347</v>
      </c>
      <c r="BR13" s="25" t="s">
        <v>347</v>
      </c>
      <c r="BS13" s="58" t="s">
        <v>347</v>
      </c>
      <c r="BT13" s="56"/>
      <c r="BU13" s="56"/>
      <c r="BV13" s="56"/>
      <c r="BW13" s="56"/>
    </row>
    <row r="14" spans="1:75" x14ac:dyDescent="0.35">
      <c r="A14" s="192" t="s">
        <v>1321</v>
      </c>
      <c r="B14" s="189" t="s">
        <v>381</v>
      </c>
      <c r="C14" s="189" t="s">
        <v>156</v>
      </c>
      <c r="D14" s="189" t="s">
        <v>381</v>
      </c>
      <c r="E14" s="189" t="s">
        <v>156</v>
      </c>
      <c r="F14" s="191" t="s">
        <v>1322</v>
      </c>
      <c r="G14" s="189" t="s">
        <v>346</v>
      </c>
      <c r="H14" s="189" t="s">
        <v>347</v>
      </c>
      <c r="I14" s="52" t="s">
        <v>1308</v>
      </c>
      <c r="J14" s="189" t="s">
        <v>368</v>
      </c>
      <c r="K14" s="52" t="s">
        <v>159</v>
      </c>
      <c r="L14" s="52" t="s">
        <v>349</v>
      </c>
      <c r="M14" s="52" t="s">
        <v>156</v>
      </c>
      <c r="N14" s="52" t="s">
        <v>156</v>
      </c>
      <c r="O14" s="25" t="s">
        <v>346</v>
      </c>
      <c r="P14" s="25" t="s">
        <v>346</v>
      </c>
      <c r="Q14" s="52" t="s">
        <v>369</v>
      </c>
      <c r="R14" s="25" t="s">
        <v>156</v>
      </c>
      <c r="S14" s="25" t="s">
        <v>156</v>
      </c>
      <c r="T14" s="25" t="s">
        <v>156</v>
      </c>
      <c r="U14" s="25" t="s">
        <v>156</v>
      </c>
      <c r="V14" s="25" t="s">
        <v>156</v>
      </c>
      <c r="W14" s="52" t="s">
        <v>156</v>
      </c>
      <c r="X14" s="52" t="s">
        <v>156</v>
      </c>
      <c r="Y14" s="189" t="s">
        <v>168</v>
      </c>
      <c r="Z14" s="189" t="s">
        <v>344</v>
      </c>
      <c r="AA14" s="189" t="s">
        <v>679</v>
      </c>
      <c r="AB14" s="189" t="s">
        <v>364</v>
      </c>
      <c r="AC14" s="52" t="s">
        <v>363</v>
      </c>
      <c r="AD14" s="25" t="s">
        <v>1290</v>
      </c>
      <c r="AE14" s="25" t="s">
        <v>1289</v>
      </c>
      <c r="AF14" s="52" t="s">
        <v>1323</v>
      </c>
      <c r="AG14" s="25" t="s">
        <v>1314</v>
      </c>
      <c r="AH14" s="52" t="s">
        <v>1324</v>
      </c>
      <c r="AI14" s="25" t="s">
        <v>156</v>
      </c>
      <c r="AJ14" s="25" t="s">
        <v>156</v>
      </c>
      <c r="AK14" s="25" t="s">
        <v>1278</v>
      </c>
      <c r="AL14" s="25" t="s">
        <v>156</v>
      </c>
      <c r="AM14" s="25" t="s">
        <v>156</v>
      </c>
      <c r="AN14" s="25" t="s">
        <v>156</v>
      </c>
      <c r="AO14" s="25" t="s">
        <v>156</v>
      </c>
      <c r="AP14" s="25" t="s">
        <v>156</v>
      </c>
      <c r="AQ14" s="25" t="s">
        <v>156</v>
      </c>
      <c r="AR14" s="25" t="s">
        <v>156</v>
      </c>
      <c r="AS14" s="25" t="s">
        <v>156</v>
      </c>
      <c r="AT14" s="193"/>
      <c r="AU14" s="25">
        <v>4</v>
      </c>
      <c r="AV14" s="25" t="s">
        <v>347</v>
      </c>
      <c r="AW14" s="25" t="s">
        <v>347</v>
      </c>
      <c r="AX14" s="25" t="s">
        <v>347</v>
      </c>
      <c r="AY14" s="25" t="s">
        <v>347</v>
      </c>
      <c r="AZ14" s="25" t="s">
        <v>347</v>
      </c>
      <c r="BA14" s="25" t="s">
        <v>347</v>
      </c>
      <c r="BB14" s="25" t="s">
        <v>347</v>
      </c>
      <c r="BC14" s="25" t="s">
        <v>347</v>
      </c>
      <c r="BD14" s="25" t="s">
        <v>347</v>
      </c>
      <c r="BE14" s="25" t="s">
        <v>347</v>
      </c>
      <c r="BF14" s="25" t="s">
        <v>347</v>
      </c>
      <c r="BG14" s="25" t="s">
        <v>347</v>
      </c>
      <c r="BH14" s="25" t="s">
        <v>347</v>
      </c>
      <c r="BI14" s="25" t="s">
        <v>347</v>
      </c>
      <c r="BJ14" s="25" t="s">
        <v>347</v>
      </c>
      <c r="BK14" s="25" t="s">
        <v>347</v>
      </c>
      <c r="BL14" s="25" t="s">
        <v>347</v>
      </c>
      <c r="BM14" s="25" t="s">
        <v>347</v>
      </c>
      <c r="BN14" s="25" t="s">
        <v>347</v>
      </c>
      <c r="BO14" s="25" t="s">
        <v>347</v>
      </c>
      <c r="BP14" s="25" t="s">
        <v>347</v>
      </c>
      <c r="BQ14" s="25" t="s">
        <v>347</v>
      </c>
      <c r="BR14" s="25" t="s">
        <v>347</v>
      </c>
      <c r="BS14" s="58" t="s">
        <v>347</v>
      </c>
      <c r="BT14" s="56"/>
      <c r="BU14" s="56"/>
      <c r="BV14" s="56"/>
      <c r="BW14" s="56"/>
    </row>
    <row r="15" spans="1:75" x14ac:dyDescent="0.35">
      <c r="A15" s="192"/>
      <c r="B15" s="189"/>
      <c r="C15" s="189"/>
      <c r="D15" s="189"/>
      <c r="E15" s="189"/>
      <c r="F15" s="191"/>
      <c r="G15" s="189"/>
      <c r="H15" s="189"/>
      <c r="I15" s="52" t="s">
        <v>1305</v>
      </c>
      <c r="J15" s="189"/>
      <c r="K15" s="52" t="s">
        <v>156</v>
      </c>
      <c r="L15" s="52" t="s">
        <v>156</v>
      </c>
      <c r="M15" s="52" t="s">
        <v>156</v>
      </c>
      <c r="N15" s="52" t="s">
        <v>156</v>
      </c>
      <c r="O15" s="25" t="s">
        <v>346</v>
      </c>
      <c r="P15" s="25" t="s">
        <v>346</v>
      </c>
      <c r="Q15" s="52" t="s">
        <v>156</v>
      </c>
      <c r="R15" s="25" t="s">
        <v>156</v>
      </c>
      <c r="S15" s="25" t="s">
        <v>156</v>
      </c>
      <c r="T15" s="25" t="s">
        <v>156</v>
      </c>
      <c r="U15" s="25" t="s">
        <v>156</v>
      </c>
      <c r="V15" s="25" t="s">
        <v>156</v>
      </c>
      <c r="W15" s="52" t="s">
        <v>156</v>
      </c>
      <c r="X15" s="52" t="s">
        <v>156</v>
      </c>
      <c r="Y15" s="189"/>
      <c r="Z15" s="189"/>
      <c r="AA15" s="189"/>
      <c r="AB15" s="189"/>
      <c r="AC15" s="52" t="s">
        <v>156</v>
      </c>
      <c r="AD15" s="25" t="s">
        <v>156</v>
      </c>
      <c r="AE15" s="25" t="s">
        <v>156</v>
      </c>
      <c r="AF15" s="25" t="s">
        <v>156</v>
      </c>
      <c r="AG15" s="25" t="s">
        <v>156</v>
      </c>
      <c r="AH15" s="25" t="s">
        <v>156</v>
      </c>
      <c r="AI15" s="25" t="s">
        <v>156</v>
      </c>
      <c r="AJ15" s="25" t="s">
        <v>156</v>
      </c>
      <c r="AK15" s="25" t="s">
        <v>1278</v>
      </c>
      <c r="AL15" s="25" t="s">
        <v>156</v>
      </c>
      <c r="AM15" s="25" t="s">
        <v>156</v>
      </c>
      <c r="AN15" s="25" t="s">
        <v>156</v>
      </c>
      <c r="AO15" s="25" t="s">
        <v>156</v>
      </c>
      <c r="AP15" s="25" t="s">
        <v>156</v>
      </c>
      <c r="AQ15" s="25" t="s">
        <v>156</v>
      </c>
      <c r="AR15" s="25" t="s">
        <v>156</v>
      </c>
      <c r="AS15" s="25" t="s">
        <v>156</v>
      </c>
      <c r="AT15" s="193"/>
      <c r="AU15" s="25">
        <v>4</v>
      </c>
      <c r="AV15" s="25" t="s">
        <v>347</v>
      </c>
      <c r="AW15" s="25" t="s">
        <v>347</v>
      </c>
      <c r="AX15" s="25" t="s">
        <v>347</v>
      </c>
      <c r="AY15" s="25" t="s">
        <v>347</v>
      </c>
      <c r="AZ15" s="25" t="s">
        <v>347</v>
      </c>
      <c r="BA15" s="25" t="s">
        <v>347</v>
      </c>
      <c r="BB15" s="25" t="s">
        <v>347</v>
      </c>
      <c r="BC15" s="25" t="s">
        <v>347</v>
      </c>
      <c r="BD15" s="25" t="s">
        <v>347</v>
      </c>
      <c r="BE15" s="25" t="s">
        <v>347</v>
      </c>
      <c r="BF15" s="25" t="s">
        <v>347</v>
      </c>
      <c r="BG15" s="25" t="s">
        <v>347</v>
      </c>
      <c r="BH15" s="25" t="s">
        <v>347</v>
      </c>
      <c r="BI15" s="25" t="s">
        <v>347</v>
      </c>
      <c r="BJ15" s="25" t="s">
        <v>347</v>
      </c>
      <c r="BK15" s="25" t="s">
        <v>347</v>
      </c>
      <c r="BL15" s="25" t="s">
        <v>347</v>
      </c>
      <c r="BM15" s="25" t="s">
        <v>347</v>
      </c>
      <c r="BN15" s="25" t="s">
        <v>347</v>
      </c>
      <c r="BO15" s="25" t="s">
        <v>347</v>
      </c>
      <c r="BP15" s="25" t="s">
        <v>347</v>
      </c>
      <c r="BQ15" s="25" t="s">
        <v>347</v>
      </c>
      <c r="BR15" s="25" t="s">
        <v>347</v>
      </c>
      <c r="BS15" s="58" t="s">
        <v>347</v>
      </c>
      <c r="BT15" s="56"/>
      <c r="BU15" s="56"/>
      <c r="BV15" s="56"/>
      <c r="BW15" s="56"/>
    </row>
    <row r="16" spans="1:75" x14ac:dyDescent="0.35">
      <c r="A16" s="192"/>
      <c r="B16" s="189"/>
      <c r="C16" s="189"/>
      <c r="D16" s="189"/>
      <c r="E16" s="189"/>
      <c r="F16" s="191"/>
      <c r="G16" s="189"/>
      <c r="H16" s="189"/>
      <c r="I16" s="52" t="s">
        <v>1311</v>
      </c>
      <c r="J16" s="189"/>
      <c r="K16" s="52" t="s">
        <v>156</v>
      </c>
      <c r="L16" s="52" t="s">
        <v>156</v>
      </c>
      <c r="M16" s="52" t="s">
        <v>156</v>
      </c>
      <c r="N16" s="52" t="s">
        <v>156</v>
      </c>
      <c r="O16" s="25" t="s">
        <v>346</v>
      </c>
      <c r="P16" s="25" t="s">
        <v>346</v>
      </c>
      <c r="Q16" s="52" t="s">
        <v>156</v>
      </c>
      <c r="R16" s="25" t="s">
        <v>156</v>
      </c>
      <c r="S16" s="25" t="s">
        <v>156</v>
      </c>
      <c r="T16" s="25" t="s">
        <v>156</v>
      </c>
      <c r="U16" s="25" t="s">
        <v>156</v>
      </c>
      <c r="V16" s="25" t="s">
        <v>156</v>
      </c>
      <c r="W16" s="52" t="s">
        <v>156</v>
      </c>
      <c r="X16" s="52" t="s">
        <v>156</v>
      </c>
      <c r="Y16" s="189"/>
      <c r="Z16" s="189"/>
      <c r="AA16" s="189"/>
      <c r="AB16" s="189"/>
      <c r="AC16" s="52" t="s">
        <v>156</v>
      </c>
      <c r="AD16" s="25" t="s">
        <v>156</v>
      </c>
      <c r="AE16" s="25" t="s">
        <v>156</v>
      </c>
      <c r="AF16" s="25" t="s">
        <v>156</v>
      </c>
      <c r="AG16" s="25" t="s">
        <v>156</v>
      </c>
      <c r="AH16" s="25" t="s">
        <v>156</v>
      </c>
      <c r="AI16" s="25" t="s">
        <v>156</v>
      </c>
      <c r="AJ16" s="25" t="s">
        <v>156</v>
      </c>
      <c r="AK16" s="25" t="s">
        <v>1278</v>
      </c>
      <c r="AL16" s="25" t="s">
        <v>156</v>
      </c>
      <c r="AM16" s="25" t="s">
        <v>156</v>
      </c>
      <c r="AN16" s="25" t="s">
        <v>156</v>
      </c>
      <c r="AO16" s="25" t="s">
        <v>156</v>
      </c>
      <c r="AP16" s="25" t="s">
        <v>156</v>
      </c>
      <c r="AQ16" s="25" t="s">
        <v>156</v>
      </c>
      <c r="AR16" s="25" t="s">
        <v>156</v>
      </c>
      <c r="AS16" s="25" t="s">
        <v>156</v>
      </c>
      <c r="AT16" s="193"/>
      <c r="AU16" s="25">
        <v>4</v>
      </c>
      <c r="AV16" s="25" t="s">
        <v>347</v>
      </c>
      <c r="AW16" s="25" t="s">
        <v>347</v>
      </c>
      <c r="AX16" s="25" t="s">
        <v>347</v>
      </c>
      <c r="AY16" s="25" t="s">
        <v>347</v>
      </c>
      <c r="AZ16" s="25" t="s">
        <v>347</v>
      </c>
      <c r="BA16" s="25" t="s">
        <v>347</v>
      </c>
      <c r="BB16" s="25" t="s">
        <v>347</v>
      </c>
      <c r="BC16" s="25" t="s">
        <v>347</v>
      </c>
      <c r="BD16" s="25" t="s">
        <v>347</v>
      </c>
      <c r="BE16" s="25" t="s">
        <v>347</v>
      </c>
      <c r="BF16" s="25" t="s">
        <v>347</v>
      </c>
      <c r="BG16" s="25" t="s">
        <v>347</v>
      </c>
      <c r="BH16" s="25" t="s">
        <v>347</v>
      </c>
      <c r="BI16" s="25" t="s">
        <v>347</v>
      </c>
      <c r="BJ16" s="25" t="s">
        <v>347</v>
      </c>
      <c r="BK16" s="25" t="s">
        <v>347</v>
      </c>
      <c r="BL16" s="25" t="s">
        <v>347</v>
      </c>
      <c r="BM16" s="25" t="s">
        <v>347</v>
      </c>
      <c r="BN16" s="25" t="s">
        <v>347</v>
      </c>
      <c r="BO16" s="25" t="s">
        <v>347</v>
      </c>
      <c r="BP16" s="25" t="s">
        <v>347</v>
      </c>
      <c r="BQ16" s="25" t="s">
        <v>347</v>
      </c>
      <c r="BR16" s="25" t="s">
        <v>347</v>
      </c>
      <c r="BS16" s="58" t="s">
        <v>347</v>
      </c>
      <c r="BT16" s="56"/>
      <c r="BU16" s="56"/>
      <c r="BV16" s="56"/>
      <c r="BW16" s="56"/>
    </row>
    <row r="17" spans="1:75" x14ac:dyDescent="0.35">
      <c r="A17" s="192" t="s">
        <v>1325</v>
      </c>
      <c r="B17" s="189" t="s">
        <v>156</v>
      </c>
      <c r="C17" s="189" t="s">
        <v>381</v>
      </c>
      <c r="D17" s="189" t="s">
        <v>156</v>
      </c>
      <c r="E17" s="189" t="s">
        <v>1326</v>
      </c>
      <c r="F17" s="191" t="s">
        <v>1327</v>
      </c>
      <c r="G17" s="189" t="s">
        <v>347</v>
      </c>
      <c r="H17" s="189" t="s">
        <v>346</v>
      </c>
      <c r="I17" s="52" t="s">
        <v>952</v>
      </c>
      <c r="J17" s="189" t="s">
        <v>1286</v>
      </c>
      <c r="K17" s="52" t="s">
        <v>159</v>
      </c>
      <c r="L17" s="52" t="s">
        <v>563</v>
      </c>
      <c r="M17" s="52" t="s">
        <v>156</v>
      </c>
      <c r="N17" s="52" t="s">
        <v>156</v>
      </c>
      <c r="O17" s="25" t="s">
        <v>346</v>
      </c>
      <c r="P17" s="25" t="s">
        <v>346</v>
      </c>
      <c r="Q17" s="52" t="s">
        <v>540</v>
      </c>
      <c r="R17" s="25" t="s">
        <v>156</v>
      </c>
      <c r="S17" s="25" t="s">
        <v>156</v>
      </c>
      <c r="T17" s="25" t="s">
        <v>156</v>
      </c>
      <c r="U17" s="25" t="s">
        <v>156</v>
      </c>
      <c r="V17" s="25" t="s">
        <v>156</v>
      </c>
      <c r="W17" s="52" t="s">
        <v>156</v>
      </c>
      <c r="X17" s="52" t="s">
        <v>156</v>
      </c>
      <c r="Y17" s="189" t="s">
        <v>168</v>
      </c>
      <c r="Z17" s="189" t="s">
        <v>400</v>
      </c>
      <c r="AA17" s="189" t="s">
        <v>679</v>
      </c>
      <c r="AB17" s="189" t="s">
        <v>364</v>
      </c>
      <c r="AC17" s="52" t="s">
        <v>950</v>
      </c>
      <c r="AD17" s="25" t="s">
        <v>156</v>
      </c>
      <c r="AE17" s="25" t="s">
        <v>1289</v>
      </c>
      <c r="AF17" s="25" t="s">
        <v>156</v>
      </c>
      <c r="AG17" s="25" t="s">
        <v>156</v>
      </c>
      <c r="AH17" s="52" t="s">
        <v>1328</v>
      </c>
      <c r="AI17" s="25" t="s">
        <v>156</v>
      </c>
      <c r="AJ17" s="25" t="s">
        <v>156</v>
      </c>
      <c r="AK17" s="25" t="s">
        <v>1278</v>
      </c>
      <c r="AL17" s="25" t="s">
        <v>156</v>
      </c>
      <c r="AM17" s="25" t="s">
        <v>156</v>
      </c>
      <c r="AN17" s="25" t="s">
        <v>156</v>
      </c>
      <c r="AO17" s="25" t="s">
        <v>156</v>
      </c>
      <c r="AP17" s="25" t="s">
        <v>156</v>
      </c>
      <c r="AQ17" s="25" t="s">
        <v>156</v>
      </c>
      <c r="AR17" s="25" t="s">
        <v>156</v>
      </c>
      <c r="AS17" s="25" t="s">
        <v>156</v>
      </c>
      <c r="AT17" s="193"/>
      <c r="AU17" s="25">
        <v>4</v>
      </c>
      <c r="AV17" s="25" t="s">
        <v>347</v>
      </c>
      <c r="AW17" s="25" t="s">
        <v>347</v>
      </c>
      <c r="AX17" s="25" t="s">
        <v>347</v>
      </c>
      <c r="AY17" s="25" t="s">
        <v>347</v>
      </c>
      <c r="AZ17" s="25" t="s">
        <v>347</v>
      </c>
      <c r="BA17" s="25" t="s">
        <v>347</v>
      </c>
      <c r="BB17" s="25" t="s">
        <v>347</v>
      </c>
      <c r="BC17" s="25" t="s">
        <v>347</v>
      </c>
      <c r="BD17" s="25" t="s">
        <v>347</v>
      </c>
      <c r="BE17" s="25" t="s">
        <v>347</v>
      </c>
      <c r="BF17" s="25" t="s">
        <v>347</v>
      </c>
      <c r="BG17" s="25" t="s">
        <v>347</v>
      </c>
      <c r="BH17" s="25" t="s">
        <v>347</v>
      </c>
      <c r="BI17" s="25" t="s">
        <v>347</v>
      </c>
      <c r="BJ17" s="25" t="s">
        <v>347</v>
      </c>
      <c r="BK17" s="25" t="s">
        <v>347</v>
      </c>
      <c r="BL17" s="25" t="s">
        <v>347</v>
      </c>
      <c r="BM17" s="25" t="s">
        <v>347</v>
      </c>
      <c r="BN17" s="25" t="s">
        <v>347</v>
      </c>
      <c r="BO17" s="25" t="s">
        <v>347</v>
      </c>
      <c r="BP17" s="25" t="s">
        <v>347</v>
      </c>
      <c r="BQ17" s="25" t="s">
        <v>347</v>
      </c>
      <c r="BR17" s="25" t="s">
        <v>347</v>
      </c>
      <c r="BS17" s="58" t="s">
        <v>347</v>
      </c>
      <c r="BT17" s="56"/>
      <c r="BU17" s="56"/>
      <c r="BV17" s="56"/>
      <c r="BW17" s="56"/>
    </row>
    <row r="18" spans="1:75" x14ac:dyDescent="0.35">
      <c r="A18" s="192"/>
      <c r="B18" s="189"/>
      <c r="C18" s="189"/>
      <c r="D18" s="189"/>
      <c r="E18" s="189"/>
      <c r="F18" s="191"/>
      <c r="G18" s="189"/>
      <c r="H18" s="189"/>
      <c r="I18" s="52" t="s">
        <v>1305</v>
      </c>
      <c r="J18" s="189"/>
      <c r="K18" s="52" t="s">
        <v>156</v>
      </c>
      <c r="L18" s="52" t="s">
        <v>156</v>
      </c>
      <c r="M18" s="52" t="s">
        <v>156</v>
      </c>
      <c r="N18" s="52" t="s">
        <v>156</v>
      </c>
      <c r="O18" s="25" t="s">
        <v>346</v>
      </c>
      <c r="P18" s="25" t="s">
        <v>346</v>
      </c>
      <c r="Q18" s="52" t="s">
        <v>156</v>
      </c>
      <c r="R18" s="25" t="s">
        <v>156</v>
      </c>
      <c r="S18" s="25" t="s">
        <v>156</v>
      </c>
      <c r="T18" s="25" t="s">
        <v>156</v>
      </c>
      <c r="U18" s="25" t="s">
        <v>156</v>
      </c>
      <c r="V18" s="25" t="s">
        <v>156</v>
      </c>
      <c r="W18" s="52" t="s">
        <v>156</v>
      </c>
      <c r="X18" s="52" t="s">
        <v>156</v>
      </c>
      <c r="Y18" s="189"/>
      <c r="Z18" s="189"/>
      <c r="AA18" s="189"/>
      <c r="AB18" s="189"/>
      <c r="AC18" s="52" t="s">
        <v>156</v>
      </c>
      <c r="AD18" s="25" t="s">
        <v>156</v>
      </c>
      <c r="AE18" s="25" t="s">
        <v>156</v>
      </c>
      <c r="AF18" s="25" t="s">
        <v>156</v>
      </c>
      <c r="AG18" s="25" t="s">
        <v>156</v>
      </c>
      <c r="AH18" s="25" t="s">
        <v>156</v>
      </c>
      <c r="AI18" s="25" t="s">
        <v>156</v>
      </c>
      <c r="AJ18" s="25" t="s">
        <v>156</v>
      </c>
      <c r="AK18" s="25" t="s">
        <v>1278</v>
      </c>
      <c r="AL18" s="25" t="s">
        <v>156</v>
      </c>
      <c r="AM18" s="25" t="s">
        <v>156</v>
      </c>
      <c r="AN18" s="25" t="s">
        <v>156</v>
      </c>
      <c r="AO18" s="25" t="s">
        <v>156</v>
      </c>
      <c r="AP18" s="25" t="s">
        <v>156</v>
      </c>
      <c r="AQ18" s="25" t="s">
        <v>156</v>
      </c>
      <c r="AR18" s="25" t="s">
        <v>156</v>
      </c>
      <c r="AS18" s="25" t="s">
        <v>156</v>
      </c>
      <c r="AT18" s="193"/>
      <c r="AU18" s="25">
        <v>4</v>
      </c>
      <c r="AV18" s="25" t="s">
        <v>347</v>
      </c>
      <c r="AW18" s="25" t="s">
        <v>347</v>
      </c>
      <c r="AX18" s="25" t="s">
        <v>347</v>
      </c>
      <c r="AY18" s="25" t="s">
        <v>347</v>
      </c>
      <c r="AZ18" s="25" t="s">
        <v>347</v>
      </c>
      <c r="BA18" s="25" t="s">
        <v>347</v>
      </c>
      <c r="BB18" s="25" t="s">
        <v>347</v>
      </c>
      <c r="BC18" s="25" t="s">
        <v>347</v>
      </c>
      <c r="BD18" s="25" t="s">
        <v>347</v>
      </c>
      <c r="BE18" s="25" t="s">
        <v>347</v>
      </c>
      <c r="BF18" s="25" t="s">
        <v>347</v>
      </c>
      <c r="BG18" s="25" t="s">
        <v>347</v>
      </c>
      <c r="BH18" s="25" t="s">
        <v>347</v>
      </c>
      <c r="BI18" s="25" t="s">
        <v>347</v>
      </c>
      <c r="BJ18" s="25" t="s">
        <v>347</v>
      </c>
      <c r="BK18" s="25" t="s">
        <v>347</v>
      </c>
      <c r="BL18" s="25" t="s">
        <v>347</v>
      </c>
      <c r="BM18" s="25" t="s">
        <v>347</v>
      </c>
      <c r="BN18" s="25" t="s">
        <v>347</v>
      </c>
      <c r="BO18" s="25" t="s">
        <v>347</v>
      </c>
      <c r="BP18" s="25" t="s">
        <v>347</v>
      </c>
      <c r="BQ18" s="25" t="s">
        <v>347</v>
      </c>
      <c r="BR18" s="25" t="s">
        <v>347</v>
      </c>
      <c r="BS18" s="58" t="s">
        <v>347</v>
      </c>
      <c r="BT18" s="56"/>
      <c r="BU18" s="56"/>
      <c r="BV18" s="56"/>
      <c r="BW18" s="56"/>
    </row>
    <row r="19" spans="1:75" x14ac:dyDescent="0.35">
      <c r="A19" s="192"/>
      <c r="B19" s="189"/>
      <c r="C19" s="189"/>
      <c r="D19" s="189"/>
      <c r="E19" s="189"/>
      <c r="F19" s="191"/>
      <c r="G19" s="189"/>
      <c r="H19" s="189"/>
      <c r="I19" s="52" t="s">
        <v>1311</v>
      </c>
      <c r="J19" s="189"/>
      <c r="K19" s="52" t="s">
        <v>156</v>
      </c>
      <c r="L19" s="52" t="s">
        <v>156</v>
      </c>
      <c r="M19" s="52" t="s">
        <v>156</v>
      </c>
      <c r="N19" s="52" t="s">
        <v>156</v>
      </c>
      <c r="O19" s="25" t="s">
        <v>346</v>
      </c>
      <c r="P19" s="25" t="s">
        <v>346</v>
      </c>
      <c r="Q19" s="52" t="s">
        <v>156</v>
      </c>
      <c r="R19" s="25" t="s">
        <v>156</v>
      </c>
      <c r="S19" s="25" t="s">
        <v>156</v>
      </c>
      <c r="T19" s="25" t="s">
        <v>156</v>
      </c>
      <c r="U19" s="25" t="s">
        <v>156</v>
      </c>
      <c r="V19" s="25" t="s">
        <v>156</v>
      </c>
      <c r="W19" s="52" t="s">
        <v>156</v>
      </c>
      <c r="X19" s="52" t="s">
        <v>156</v>
      </c>
      <c r="Y19" s="189"/>
      <c r="Z19" s="189"/>
      <c r="AA19" s="189"/>
      <c r="AB19" s="189"/>
      <c r="AC19" s="52" t="s">
        <v>156</v>
      </c>
      <c r="AD19" s="25" t="s">
        <v>156</v>
      </c>
      <c r="AE19" s="25" t="s">
        <v>156</v>
      </c>
      <c r="AF19" s="25" t="s">
        <v>156</v>
      </c>
      <c r="AG19" s="25" t="s">
        <v>156</v>
      </c>
      <c r="AH19" s="25" t="s">
        <v>156</v>
      </c>
      <c r="AI19" s="25" t="s">
        <v>156</v>
      </c>
      <c r="AJ19" s="25" t="s">
        <v>156</v>
      </c>
      <c r="AK19" s="25" t="s">
        <v>1278</v>
      </c>
      <c r="AL19" s="25" t="s">
        <v>156</v>
      </c>
      <c r="AM19" s="25" t="s">
        <v>156</v>
      </c>
      <c r="AN19" s="25" t="s">
        <v>156</v>
      </c>
      <c r="AO19" s="25" t="s">
        <v>156</v>
      </c>
      <c r="AP19" s="25" t="s">
        <v>156</v>
      </c>
      <c r="AQ19" s="25" t="s">
        <v>156</v>
      </c>
      <c r="AR19" s="25" t="s">
        <v>156</v>
      </c>
      <c r="AS19" s="25" t="s">
        <v>156</v>
      </c>
      <c r="AT19" s="193"/>
      <c r="AU19" s="25">
        <v>4</v>
      </c>
      <c r="AV19" s="25" t="s">
        <v>347</v>
      </c>
      <c r="AW19" s="25" t="s">
        <v>347</v>
      </c>
      <c r="AX19" s="25" t="s">
        <v>347</v>
      </c>
      <c r="AY19" s="25" t="s">
        <v>347</v>
      </c>
      <c r="AZ19" s="25" t="s">
        <v>347</v>
      </c>
      <c r="BA19" s="25" t="s">
        <v>347</v>
      </c>
      <c r="BB19" s="25" t="s">
        <v>347</v>
      </c>
      <c r="BC19" s="25" t="s">
        <v>347</v>
      </c>
      <c r="BD19" s="25" t="s">
        <v>347</v>
      </c>
      <c r="BE19" s="25" t="s">
        <v>347</v>
      </c>
      <c r="BF19" s="25" t="s">
        <v>347</v>
      </c>
      <c r="BG19" s="25" t="s">
        <v>347</v>
      </c>
      <c r="BH19" s="25" t="s">
        <v>347</v>
      </c>
      <c r="BI19" s="25" t="s">
        <v>347</v>
      </c>
      <c r="BJ19" s="25" t="s">
        <v>347</v>
      </c>
      <c r="BK19" s="25" t="s">
        <v>347</v>
      </c>
      <c r="BL19" s="25" t="s">
        <v>347</v>
      </c>
      <c r="BM19" s="25" t="s">
        <v>347</v>
      </c>
      <c r="BN19" s="25" t="s">
        <v>347</v>
      </c>
      <c r="BO19" s="25" t="s">
        <v>347</v>
      </c>
      <c r="BP19" s="25" t="s">
        <v>347</v>
      </c>
      <c r="BQ19" s="25" t="s">
        <v>347</v>
      </c>
      <c r="BR19" s="25" t="s">
        <v>347</v>
      </c>
      <c r="BS19" s="58" t="s">
        <v>347</v>
      </c>
      <c r="BT19" s="56"/>
      <c r="BU19" s="56"/>
      <c r="BV19" s="56"/>
      <c r="BW19" s="56"/>
    </row>
    <row r="20" spans="1:75" ht="18.649999999999999" customHeight="1" x14ac:dyDescent="0.35">
      <c r="A20" s="188" t="s">
        <v>1329</v>
      </c>
      <c r="B20" s="189" t="s">
        <v>381</v>
      </c>
      <c r="C20" s="187" t="s">
        <v>156</v>
      </c>
      <c r="D20" s="187" t="s">
        <v>156</v>
      </c>
      <c r="E20" s="187" t="s">
        <v>156</v>
      </c>
      <c r="F20" s="190" t="s">
        <v>1301</v>
      </c>
      <c r="G20" s="187" t="s">
        <v>346</v>
      </c>
      <c r="H20" s="187" t="s">
        <v>347</v>
      </c>
      <c r="I20" s="25" t="s">
        <v>952</v>
      </c>
      <c r="J20" s="187" t="s">
        <v>368</v>
      </c>
      <c r="K20" s="57" t="s">
        <v>166</v>
      </c>
      <c r="L20" s="57" t="s">
        <v>1330</v>
      </c>
      <c r="M20" s="57" t="s">
        <v>156</v>
      </c>
      <c r="N20" s="25" t="s">
        <v>156</v>
      </c>
      <c r="O20" s="25" t="s">
        <v>346</v>
      </c>
      <c r="P20" s="25" t="s">
        <v>346</v>
      </c>
      <c r="Q20" s="52" t="s">
        <v>156</v>
      </c>
      <c r="R20" s="25" t="s">
        <v>156</v>
      </c>
      <c r="S20" s="25" t="s">
        <v>156</v>
      </c>
      <c r="T20" s="25" t="s">
        <v>156</v>
      </c>
      <c r="U20" s="25" t="s">
        <v>156</v>
      </c>
      <c r="V20" s="25" t="s">
        <v>156</v>
      </c>
      <c r="W20" s="25" t="s">
        <v>156</v>
      </c>
      <c r="X20" s="25" t="s">
        <v>156</v>
      </c>
      <c r="Y20" s="187" t="s">
        <v>168</v>
      </c>
      <c r="Z20" s="187" t="s">
        <v>400</v>
      </c>
      <c r="AA20" s="187" t="s">
        <v>679</v>
      </c>
      <c r="AB20" s="187" t="s">
        <v>364</v>
      </c>
      <c r="AC20" s="25" t="s">
        <v>363</v>
      </c>
      <c r="AD20" s="25" t="s">
        <v>156</v>
      </c>
      <c r="AE20" s="25" t="s">
        <v>1287</v>
      </c>
      <c r="AF20" s="25" t="s">
        <v>156</v>
      </c>
      <c r="AG20" s="25" t="s">
        <v>156</v>
      </c>
      <c r="AH20" s="25" t="s">
        <v>156</v>
      </c>
      <c r="AI20" s="25" t="s">
        <v>156</v>
      </c>
      <c r="AJ20" s="25" t="s">
        <v>156</v>
      </c>
      <c r="AK20" s="25" t="s">
        <v>1278</v>
      </c>
      <c r="AL20" s="25" t="s">
        <v>156</v>
      </c>
      <c r="AM20" s="25" t="s">
        <v>156</v>
      </c>
      <c r="AN20" s="25" t="s">
        <v>156</v>
      </c>
      <c r="AO20" s="25" t="s">
        <v>156</v>
      </c>
      <c r="AP20" s="25" t="s">
        <v>156</v>
      </c>
      <c r="AQ20" s="25" t="s">
        <v>156</v>
      </c>
      <c r="AR20" s="25" t="s">
        <v>156</v>
      </c>
      <c r="AS20" s="25" t="s">
        <v>156</v>
      </c>
      <c r="AT20" s="193"/>
      <c r="AU20" s="25">
        <v>4</v>
      </c>
      <c r="AV20" s="25" t="s">
        <v>347</v>
      </c>
      <c r="AW20" s="25" t="s">
        <v>347</v>
      </c>
      <c r="AX20" s="25" t="s">
        <v>347</v>
      </c>
      <c r="AY20" s="25" t="s">
        <v>347</v>
      </c>
      <c r="AZ20" s="25" t="s">
        <v>347</v>
      </c>
      <c r="BA20" s="25" t="s">
        <v>347</v>
      </c>
      <c r="BB20" s="25" t="s">
        <v>347</v>
      </c>
      <c r="BC20" s="25" t="s">
        <v>347</v>
      </c>
      <c r="BD20" s="25" t="s">
        <v>347</v>
      </c>
      <c r="BE20" s="25" t="s">
        <v>347</v>
      </c>
      <c r="BF20" s="25" t="s">
        <v>347</v>
      </c>
      <c r="BG20" s="25" t="s">
        <v>347</v>
      </c>
      <c r="BH20" s="25" t="s">
        <v>347</v>
      </c>
      <c r="BI20" s="25" t="s">
        <v>347</v>
      </c>
      <c r="BJ20" s="25" t="s">
        <v>347</v>
      </c>
      <c r="BK20" s="25" t="s">
        <v>347</v>
      </c>
      <c r="BL20" s="25" t="s">
        <v>347</v>
      </c>
      <c r="BM20" s="25" t="s">
        <v>347</v>
      </c>
      <c r="BN20" s="25" t="s">
        <v>347</v>
      </c>
      <c r="BO20" s="25" t="s">
        <v>347</v>
      </c>
      <c r="BP20" s="25" t="s">
        <v>347</v>
      </c>
      <c r="BQ20" s="25" t="s">
        <v>347</v>
      </c>
      <c r="BR20" s="25" t="s">
        <v>347</v>
      </c>
      <c r="BS20" s="58" t="s">
        <v>347</v>
      </c>
      <c r="BT20" s="56"/>
      <c r="BU20" s="56"/>
      <c r="BV20" s="56"/>
      <c r="BW20" s="56"/>
    </row>
    <row r="21" spans="1:75" x14ac:dyDescent="0.35">
      <c r="A21" s="188"/>
      <c r="B21" s="189"/>
      <c r="C21" s="187"/>
      <c r="D21" s="187"/>
      <c r="E21" s="187"/>
      <c r="F21" s="190"/>
      <c r="G21" s="187"/>
      <c r="H21" s="187"/>
      <c r="I21" s="52" t="s">
        <v>1305</v>
      </c>
      <c r="J21" s="187"/>
      <c r="K21" s="59" t="s">
        <v>156</v>
      </c>
      <c r="L21" s="59" t="s">
        <v>156</v>
      </c>
      <c r="M21" s="59" t="s">
        <v>156</v>
      </c>
      <c r="N21" s="52" t="s">
        <v>156</v>
      </c>
      <c r="O21" s="52" t="s">
        <v>156</v>
      </c>
      <c r="P21" s="52" t="s">
        <v>156</v>
      </c>
      <c r="Q21" s="52" t="s">
        <v>156</v>
      </c>
      <c r="R21" s="52" t="s">
        <v>156</v>
      </c>
      <c r="S21" s="52" t="s">
        <v>156</v>
      </c>
      <c r="T21" s="52" t="s">
        <v>156</v>
      </c>
      <c r="U21" s="52" t="s">
        <v>156</v>
      </c>
      <c r="V21" s="52" t="s">
        <v>156</v>
      </c>
      <c r="W21" s="52" t="s">
        <v>156</v>
      </c>
      <c r="X21" s="52" t="s">
        <v>156</v>
      </c>
      <c r="Y21" s="187"/>
      <c r="Z21" s="187"/>
      <c r="AA21" s="187"/>
      <c r="AB21" s="187"/>
      <c r="AC21" s="52" t="s">
        <v>156</v>
      </c>
      <c r="AD21" s="25" t="s">
        <v>156</v>
      </c>
      <c r="AE21" s="25" t="s">
        <v>156</v>
      </c>
      <c r="AF21" s="25" t="s">
        <v>156</v>
      </c>
      <c r="AG21" s="25" t="s">
        <v>156</v>
      </c>
      <c r="AH21" s="25" t="s">
        <v>156</v>
      </c>
      <c r="AI21" s="25" t="s">
        <v>156</v>
      </c>
      <c r="AJ21" s="25" t="s">
        <v>156</v>
      </c>
      <c r="AK21" s="25" t="s">
        <v>1278</v>
      </c>
      <c r="AL21" s="25" t="s">
        <v>156</v>
      </c>
      <c r="AM21" s="25" t="s">
        <v>156</v>
      </c>
      <c r="AN21" s="25" t="s">
        <v>156</v>
      </c>
      <c r="AO21" s="25" t="s">
        <v>156</v>
      </c>
      <c r="AP21" s="25" t="s">
        <v>156</v>
      </c>
      <c r="AQ21" s="25" t="s">
        <v>156</v>
      </c>
      <c r="AR21" s="25" t="s">
        <v>156</v>
      </c>
      <c r="AS21" s="25" t="s">
        <v>156</v>
      </c>
      <c r="AT21" s="193"/>
      <c r="AU21" s="25">
        <v>4</v>
      </c>
      <c r="AV21" s="25" t="s">
        <v>347</v>
      </c>
      <c r="AW21" s="25" t="s">
        <v>347</v>
      </c>
      <c r="AX21" s="25" t="s">
        <v>347</v>
      </c>
      <c r="AY21" s="25" t="s">
        <v>347</v>
      </c>
      <c r="AZ21" s="25" t="s">
        <v>347</v>
      </c>
      <c r="BA21" s="25" t="s">
        <v>347</v>
      </c>
      <c r="BB21" s="25" t="s">
        <v>347</v>
      </c>
      <c r="BC21" s="25" t="s">
        <v>347</v>
      </c>
      <c r="BD21" s="25" t="s">
        <v>347</v>
      </c>
      <c r="BE21" s="25" t="s">
        <v>347</v>
      </c>
      <c r="BF21" s="25" t="s">
        <v>347</v>
      </c>
      <c r="BG21" s="25" t="s">
        <v>347</v>
      </c>
      <c r="BH21" s="25" t="s">
        <v>347</v>
      </c>
      <c r="BI21" s="25" t="s">
        <v>347</v>
      </c>
      <c r="BJ21" s="25" t="s">
        <v>347</v>
      </c>
      <c r="BK21" s="25" t="s">
        <v>347</v>
      </c>
      <c r="BL21" s="25" t="s">
        <v>347</v>
      </c>
      <c r="BM21" s="25" t="s">
        <v>347</v>
      </c>
      <c r="BN21" s="25" t="s">
        <v>347</v>
      </c>
      <c r="BO21" s="25" t="s">
        <v>347</v>
      </c>
      <c r="BP21" s="25" t="s">
        <v>347</v>
      </c>
      <c r="BQ21" s="25" t="s">
        <v>347</v>
      </c>
      <c r="BR21" s="25" t="s">
        <v>347</v>
      </c>
      <c r="BS21" s="58" t="s">
        <v>347</v>
      </c>
      <c r="BT21" s="56"/>
      <c r="BU21" s="56"/>
      <c r="BV21" s="56"/>
      <c r="BW21" s="56"/>
    </row>
    <row r="22" spans="1:75" ht="14.5" customHeight="1" x14ac:dyDescent="0.35">
      <c r="A22" s="188" t="s">
        <v>1331</v>
      </c>
      <c r="B22" s="189" t="s">
        <v>156</v>
      </c>
      <c r="C22" s="189" t="s">
        <v>156</v>
      </c>
      <c r="D22" s="189" t="s">
        <v>381</v>
      </c>
      <c r="E22" s="189" t="s">
        <v>156</v>
      </c>
      <c r="F22" s="190" t="s">
        <v>1307</v>
      </c>
      <c r="G22" s="187" t="s">
        <v>346</v>
      </c>
      <c r="H22" s="187" t="s">
        <v>347</v>
      </c>
      <c r="I22" s="52" t="s">
        <v>1308</v>
      </c>
      <c r="J22" s="187" t="s">
        <v>368</v>
      </c>
      <c r="K22" s="57" t="s">
        <v>166</v>
      </c>
      <c r="L22" s="57" t="s">
        <v>1332</v>
      </c>
      <c r="M22" s="57" t="s">
        <v>156</v>
      </c>
      <c r="N22" s="25" t="s">
        <v>156</v>
      </c>
      <c r="O22" s="25" t="s">
        <v>346</v>
      </c>
      <c r="P22" s="25" t="s">
        <v>346</v>
      </c>
      <c r="Q22" s="52" t="s">
        <v>156</v>
      </c>
      <c r="R22" s="25" t="s">
        <v>156</v>
      </c>
      <c r="S22" s="25" t="s">
        <v>156</v>
      </c>
      <c r="T22" s="25" t="s">
        <v>156</v>
      </c>
      <c r="U22" s="25" t="s">
        <v>156</v>
      </c>
      <c r="V22" s="25" t="s">
        <v>156</v>
      </c>
      <c r="W22" s="52" t="s">
        <v>156</v>
      </c>
      <c r="X22" s="52" t="s">
        <v>156</v>
      </c>
      <c r="Y22" s="187" t="s">
        <v>168</v>
      </c>
      <c r="Z22" s="187" t="s">
        <v>344</v>
      </c>
      <c r="AA22" s="187" t="s">
        <v>679</v>
      </c>
      <c r="AB22" s="187" t="s">
        <v>364</v>
      </c>
      <c r="AC22" s="52" t="s">
        <v>950</v>
      </c>
      <c r="AD22" s="52" t="s">
        <v>1287</v>
      </c>
      <c r="AE22" s="52" t="s">
        <v>1333</v>
      </c>
      <c r="AF22" s="25" t="s">
        <v>156</v>
      </c>
      <c r="AG22" s="25" t="s">
        <v>156</v>
      </c>
      <c r="AH22" s="25" t="s">
        <v>156</v>
      </c>
      <c r="AI22" s="25" t="s">
        <v>156</v>
      </c>
      <c r="AJ22" s="25" t="s">
        <v>156</v>
      </c>
      <c r="AK22" s="25" t="s">
        <v>1278</v>
      </c>
      <c r="AL22" s="25" t="s">
        <v>156</v>
      </c>
      <c r="AM22" s="25" t="s">
        <v>156</v>
      </c>
      <c r="AN22" s="25" t="s">
        <v>156</v>
      </c>
      <c r="AO22" s="25" t="s">
        <v>156</v>
      </c>
      <c r="AP22" s="25" t="s">
        <v>156</v>
      </c>
      <c r="AQ22" s="25" t="s">
        <v>156</v>
      </c>
      <c r="AR22" s="25" t="s">
        <v>156</v>
      </c>
      <c r="AS22" s="25" t="s">
        <v>156</v>
      </c>
      <c r="AT22" s="193"/>
      <c r="AU22" s="25">
        <v>4</v>
      </c>
      <c r="AV22" s="25" t="s">
        <v>347</v>
      </c>
      <c r="AW22" s="25" t="s">
        <v>347</v>
      </c>
      <c r="AX22" s="25" t="s">
        <v>347</v>
      </c>
      <c r="AY22" s="25" t="s">
        <v>347</v>
      </c>
      <c r="AZ22" s="25" t="s">
        <v>347</v>
      </c>
      <c r="BA22" s="25" t="s">
        <v>347</v>
      </c>
      <c r="BB22" s="25" t="s">
        <v>347</v>
      </c>
      <c r="BC22" s="25" t="s">
        <v>347</v>
      </c>
      <c r="BD22" s="25" t="s">
        <v>347</v>
      </c>
      <c r="BE22" s="25" t="s">
        <v>347</v>
      </c>
      <c r="BF22" s="25" t="s">
        <v>347</v>
      </c>
      <c r="BG22" s="25" t="s">
        <v>347</v>
      </c>
      <c r="BH22" s="25" t="s">
        <v>347</v>
      </c>
      <c r="BI22" s="25" t="s">
        <v>347</v>
      </c>
      <c r="BJ22" s="25" t="s">
        <v>347</v>
      </c>
      <c r="BK22" s="25" t="s">
        <v>347</v>
      </c>
      <c r="BL22" s="25" t="s">
        <v>347</v>
      </c>
      <c r="BM22" s="25" t="s">
        <v>347</v>
      </c>
      <c r="BN22" s="25" t="s">
        <v>347</v>
      </c>
      <c r="BO22" s="25" t="s">
        <v>347</v>
      </c>
      <c r="BP22" s="25" t="s">
        <v>347</v>
      </c>
      <c r="BQ22" s="25" t="s">
        <v>347</v>
      </c>
      <c r="BR22" s="25" t="s">
        <v>347</v>
      </c>
      <c r="BS22" s="58" t="s">
        <v>347</v>
      </c>
      <c r="BT22" s="56"/>
      <c r="BU22" s="56"/>
      <c r="BV22" s="56"/>
      <c r="BW22" s="56"/>
    </row>
    <row r="23" spans="1:75" x14ac:dyDescent="0.35">
      <c r="A23" s="188"/>
      <c r="B23" s="189"/>
      <c r="C23" s="189"/>
      <c r="D23" s="189"/>
      <c r="E23" s="189"/>
      <c r="F23" s="190"/>
      <c r="G23" s="187"/>
      <c r="H23" s="187"/>
      <c r="I23" s="52" t="s">
        <v>1311</v>
      </c>
      <c r="J23" s="187"/>
      <c r="K23" s="59" t="s">
        <v>156</v>
      </c>
      <c r="L23" s="59" t="s">
        <v>156</v>
      </c>
      <c r="M23" s="59" t="s">
        <v>156</v>
      </c>
      <c r="N23" s="52" t="s">
        <v>156</v>
      </c>
      <c r="O23" s="25" t="s">
        <v>346</v>
      </c>
      <c r="P23" s="25" t="s">
        <v>346</v>
      </c>
      <c r="Q23" s="52" t="s">
        <v>156</v>
      </c>
      <c r="R23" s="25" t="s">
        <v>156</v>
      </c>
      <c r="S23" s="25" t="s">
        <v>156</v>
      </c>
      <c r="T23" s="25" t="s">
        <v>156</v>
      </c>
      <c r="U23" s="25" t="s">
        <v>156</v>
      </c>
      <c r="V23" s="25" t="s">
        <v>156</v>
      </c>
      <c r="W23" s="52" t="s">
        <v>156</v>
      </c>
      <c r="X23" s="52" t="s">
        <v>156</v>
      </c>
      <c r="Y23" s="187"/>
      <c r="Z23" s="187"/>
      <c r="AA23" s="187"/>
      <c r="AB23" s="187"/>
      <c r="AC23" s="52" t="s">
        <v>156</v>
      </c>
      <c r="AD23" s="52" t="s">
        <v>156</v>
      </c>
      <c r="AE23" s="52" t="s">
        <v>156</v>
      </c>
      <c r="AF23" s="25" t="s">
        <v>156</v>
      </c>
      <c r="AG23" s="25" t="s">
        <v>156</v>
      </c>
      <c r="AH23" s="25" t="s">
        <v>156</v>
      </c>
      <c r="AI23" s="25" t="s">
        <v>156</v>
      </c>
      <c r="AJ23" s="25" t="s">
        <v>156</v>
      </c>
      <c r="AK23" s="25" t="s">
        <v>1278</v>
      </c>
      <c r="AL23" s="25" t="s">
        <v>156</v>
      </c>
      <c r="AM23" s="25" t="s">
        <v>156</v>
      </c>
      <c r="AN23" s="25" t="s">
        <v>156</v>
      </c>
      <c r="AO23" s="25" t="s">
        <v>156</v>
      </c>
      <c r="AP23" s="25" t="s">
        <v>156</v>
      </c>
      <c r="AQ23" s="25" t="s">
        <v>156</v>
      </c>
      <c r="AR23" s="25" t="s">
        <v>156</v>
      </c>
      <c r="AS23" s="25" t="s">
        <v>156</v>
      </c>
      <c r="AT23" s="193"/>
      <c r="AU23" s="25">
        <v>4</v>
      </c>
      <c r="AV23" s="25" t="s">
        <v>347</v>
      </c>
      <c r="AW23" s="25" t="s">
        <v>347</v>
      </c>
      <c r="AX23" s="25" t="s">
        <v>347</v>
      </c>
      <c r="AY23" s="25" t="s">
        <v>347</v>
      </c>
      <c r="AZ23" s="25" t="s">
        <v>347</v>
      </c>
      <c r="BA23" s="25" t="s">
        <v>347</v>
      </c>
      <c r="BB23" s="25" t="s">
        <v>347</v>
      </c>
      <c r="BC23" s="25" t="s">
        <v>347</v>
      </c>
      <c r="BD23" s="25" t="s">
        <v>347</v>
      </c>
      <c r="BE23" s="25" t="s">
        <v>347</v>
      </c>
      <c r="BF23" s="25" t="s">
        <v>347</v>
      </c>
      <c r="BG23" s="25" t="s">
        <v>347</v>
      </c>
      <c r="BH23" s="25" t="s">
        <v>347</v>
      </c>
      <c r="BI23" s="25" t="s">
        <v>347</v>
      </c>
      <c r="BJ23" s="25" t="s">
        <v>347</v>
      </c>
      <c r="BK23" s="25" t="s">
        <v>347</v>
      </c>
      <c r="BL23" s="25" t="s">
        <v>347</v>
      </c>
      <c r="BM23" s="25" t="s">
        <v>347</v>
      </c>
      <c r="BN23" s="25" t="s">
        <v>347</v>
      </c>
      <c r="BO23" s="25" t="s">
        <v>347</v>
      </c>
      <c r="BP23" s="25" t="s">
        <v>347</v>
      </c>
      <c r="BQ23" s="25" t="s">
        <v>347</v>
      </c>
      <c r="BR23" s="25" t="s">
        <v>347</v>
      </c>
      <c r="BS23" s="58" t="s">
        <v>347</v>
      </c>
      <c r="BT23" s="56"/>
      <c r="BU23" s="56"/>
      <c r="BV23" s="56"/>
      <c r="BW23" s="56"/>
    </row>
    <row r="24" spans="1:75" ht="14.5" customHeight="1" x14ac:dyDescent="0.35">
      <c r="A24" s="188" t="s">
        <v>1334</v>
      </c>
      <c r="B24" s="189" t="s">
        <v>381</v>
      </c>
      <c r="C24" s="189" t="s">
        <v>156</v>
      </c>
      <c r="D24" s="189" t="s">
        <v>381</v>
      </c>
      <c r="E24" s="189" t="s">
        <v>156</v>
      </c>
      <c r="F24" s="190" t="s">
        <v>1313</v>
      </c>
      <c r="G24" s="187" t="s">
        <v>347</v>
      </c>
      <c r="H24" s="187" t="s">
        <v>346</v>
      </c>
      <c r="I24" s="52" t="s">
        <v>1308</v>
      </c>
      <c r="J24" s="187" t="s">
        <v>368</v>
      </c>
      <c r="K24" s="52" t="s">
        <v>166</v>
      </c>
      <c r="L24" s="52" t="s">
        <v>563</v>
      </c>
      <c r="M24" s="52" t="s">
        <v>156</v>
      </c>
      <c r="N24" s="52" t="s">
        <v>156</v>
      </c>
      <c r="O24" s="25" t="s">
        <v>346</v>
      </c>
      <c r="P24" s="25" t="s">
        <v>346</v>
      </c>
      <c r="Q24" s="52" t="s">
        <v>156</v>
      </c>
      <c r="R24" s="25" t="s">
        <v>156</v>
      </c>
      <c r="S24" s="25" t="s">
        <v>156</v>
      </c>
      <c r="T24" s="25" t="s">
        <v>156</v>
      </c>
      <c r="U24" s="25" t="s">
        <v>156</v>
      </c>
      <c r="V24" s="25" t="s">
        <v>156</v>
      </c>
      <c r="W24" s="52" t="s">
        <v>156</v>
      </c>
      <c r="X24" s="52" t="s">
        <v>156</v>
      </c>
      <c r="Y24" s="187" t="s">
        <v>168</v>
      </c>
      <c r="Z24" s="187" t="s">
        <v>400</v>
      </c>
      <c r="AA24" s="187" t="s">
        <v>679</v>
      </c>
      <c r="AB24" s="187" t="s">
        <v>364</v>
      </c>
      <c r="AC24" s="25" t="s">
        <v>363</v>
      </c>
      <c r="AD24" s="25" t="s">
        <v>1288</v>
      </c>
      <c r="AE24" s="52" t="s">
        <v>1287</v>
      </c>
      <c r="AF24" s="25" t="s">
        <v>156</v>
      </c>
      <c r="AG24" s="25" t="s">
        <v>156</v>
      </c>
      <c r="AH24" s="25" t="s">
        <v>156</v>
      </c>
      <c r="AI24" s="25" t="s">
        <v>156</v>
      </c>
      <c r="AJ24" s="25" t="s">
        <v>156</v>
      </c>
      <c r="AK24" s="25" t="s">
        <v>1278</v>
      </c>
      <c r="AL24" s="25" t="s">
        <v>156</v>
      </c>
      <c r="AM24" s="25" t="s">
        <v>156</v>
      </c>
      <c r="AN24" s="25" t="s">
        <v>156</v>
      </c>
      <c r="AO24" s="25" t="s">
        <v>156</v>
      </c>
      <c r="AP24" s="25" t="s">
        <v>156</v>
      </c>
      <c r="AQ24" s="25" t="s">
        <v>156</v>
      </c>
      <c r="AR24" s="25" t="s">
        <v>156</v>
      </c>
      <c r="AS24" s="25" t="s">
        <v>156</v>
      </c>
      <c r="AT24" s="193"/>
      <c r="AU24" s="25">
        <v>4</v>
      </c>
      <c r="AV24" s="25" t="s">
        <v>347</v>
      </c>
      <c r="AW24" s="25" t="s">
        <v>347</v>
      </c>
      <c r="AX24" s="25" t="s">
        <v>347</v>
      </c>
      <c r="AY24" s="25" t="s">
        <v>347</v>
      </c>
      <c r="AZ24" s="25" t="s">
        <v>347</v>
      </c>
      <c r="BA24" s="25" t="s">
        <v>347</v>
      </c>
      <c r="BB24" s="25" t="s">
        <v>347</v>
      </c>
      <c r="BC24" s="25" t="s">
        <v>347</v>
      </c>
      <c r="BD24" s="25" t="s">
        <v>347</v>
      </c>
      <c r="BE24" s="25" t="s">
        <v>347</v>
      </c>
      <c r="BF24" s="25" t="s">
        <v>347</v>
      </c>
      <c r="BG24" s="25" t="s">
        <v>347</v>
      </c>
      <c r="BH24" s="25" t="s">
        <v>347</v>
      </c>
      <c r="BI24" s="25" t="s">
        <v>347</v>
      </c>
      <c r="BJ24" s="25" t="s">
        <v>347</v>
      </c>
      <c r="BK24" s="25" t="s">
        <v>347</v>
      </c>
      <c r="BL24" s="25" t="s">
        <v>347</v>
      </c>
      <c r="BM24" s="25" t="s">
        <v>347</v>
      </c>
      <c r="BN24" s="25" t="s">
        <v>347</v>
      </c>
      <c r="BO24" s="25" t="s">
        <v>347</v>
      </c>
      <c r="BP24" s="25" t="s">
        <v>347</v>
      </c>
      <c r="BQ24" s="25" t="s">
        <v>347</v>
      </c>
      <c r="BR24" s="25" t="s">
        <v>347</v>
      </c>
      <c r="BS24" s="58" t="s">
        <v>347</v>
      </c>
      <c r="BT24" s="56"/>
      <c r="BU24" s="56"/>
      <c r="BV24" s="56"/>
      <c r="BW24" s="56"/>
    </row>
    <row r="25" spans="1:75" x14ac:dyDescent="0.35">
      <c r="A25" s="188"/>
      <c r="B25" s="189"/>
      <c r="C25" s="189"/>
      <c r="D25" s="189"/>
      <c r="E25" s="189"/>
      <c r="F25" s="190"/>
      <c r="G25" s="187"/>
      <c r="H25" s="187"/>
      <c r="I25" s="52" t="s">
        <v>1317</v>
      </c>
      <c r="J25" s="187"/>
      <c r="K25" s="52" t="s">
        <v>156</v>
      </c>
      <c r="L25" s="52" t="s">
        <v>156</v>
      </c>
      <c r="M25" s="52" t="s">
        <v>156</v>
      </c>
      <c r="N25" s="52" t="s">
        <v>156</v>
      </c>
      <c r="O25" s="25" t="s">
        <v>346</v>
      </c>
      <c r="P25" s="25" t="s">
        <v>346</v>
      </c>
      <c r="Q25" s="52" t="s">
        <v>156</v>
      </c>
      <c r="R25" s="25" t="s">
        <v>156</v>
      </c>
      <c r="S25" s="25" t="s">
        <v>156</v>
      </c>
      <c r="T25" s="25" t="s">
        <v>156</v>
      </c>
      <c r="U25" s="25" t="s">
        <v>156</v>
      </c>
      <c r="V25" s="25" t="s">
        <v>156</v>
      </c>
      <c r="W25" s="52" t="s">
        <v>156</v>
      </c>
      <c r="X25" s="52" t="s">
        <v>156</v>
      </c>
      <c r="Y25" s="187"/>
      <c r="Z25" s="187"/>
      <c r="AA25" s="187"/>
      <c r="AB25" s="187"/>
      <c r="AC25" s="52" t="s">
        <v>156</v>
      </c>
      <c r="AD25" s="25" t="s">
        <v>156</v>
      </c>
      <c r="AE25" s="25" t="s">
        <v>156</v>
      </c>
      <c r="AF25" s="25" t="s">
        <v>156</v>
      </c>
      <c r="AG25" s="25" t="s">
        <v>156</v>
      </c>
      <c r="AH25" s="25" t="s">
        <v>156</v>
      </c>
      <c r="AI25" s="25" t="s">
        <v>156</v>
      </c>
      <c r="AJ25" s="25" t="s">
        <v>156</v>
      </c>
      <c r="AK25" s="25" t="s">
        <v>1278</v>
      </c>
      <c r="AL25" s="25" t="s">
        <v>156</v>
      </c>
      <c r="AM25" s="25" t="s">
        <v>156</v>
      </c>
      <c r="AN25" s="25" t="s">
        <v>156</v>
      </c>
      <c r="AO25" s="25" t="s">
        <v>156</v>
      </c>
      <c r="AP25" s="25" t="s">
        <v>156</v>
      </c>
      <c r="AQ25" s="25" t="s">
        <v>156</v>
      </c>
      <c r="AR25" s="25" t="s">
        <v>156</v>
      </c>
      <c r="AS25" s="25" t="s">
        <v>156</v>
      </c>
      <c r="AT25" s="193"/>
      <c r="AU25" s="25">
        <v>4</v>
      </c>
      <c r="AV25" s="25" t="s">
        <v>347</v>
      </c>
      <c r="AW25" s="25" t="s">
        <v>347</v>
      </c>
      <c r="AX25" s="25" t="s">
        <v>347</v>
      </c>
      <c r="AY25" s="25" t="s">
        <v>347</v>
      </c>
      <c r="AZ25" s="25" t="s">
        <v>347</v>
      </c>
      <c r="BA25" s="25" t="s">
        <v>347</v>
      </c>
      <c r="BB25" s="25" t="s">
        <v>347</v>
      </c>
      <c r="BC25" s="25" t="s">
        <v>347</v>
      </c>
      <c r="BD25" s="25" t="s">
        <v>347</v>
      </c>
      <c r="BE25" s="25" t="s">
        <v>347</v>
      </c>
      <c r="BF25" s="25" t="s">
        <v>347</v>
      </c>
      <c r="BG25" s="25" t="s">
        <v>347</v>
      </c>
      <c r="BH25" s="25" t="s">
        <v>347</v>
      </c>
      <c r="BI25" s="25" t="s">
        <v>347</v>
      </c>
      <c r="BJ25" s="25" t="s">
        <v>347</v>
      </c>
      <c r="BK25" s="25" t="s">
        <v>347</v>
      </c>
      <c r="BL25" s="25" t="s">
        <v>347</v>
      </c>
      <c r="BM25" s="25" t="s">
        <v>347</v>
      </c>
      <c r="BN25" s="25" t="s">
        <v>347</v>
      </c>
      <c r="BO25" s="25" t="s">
        <v>347</v>
      </c>
      <c r="BP25" s="25" t="s">
        <v>347</v>
      </c>
      <c r="BQ25" s="25" t="s">
        <v>347</v>
      </c>
      <c r="BR25" s="25" t="s">
        <v>347</v>
      </c>
      <c r="BS25" s="58" t="s">
        <v>347</v>
      </c>
      <c r="BT25" s="56"/>
      <c r="BU25" s="56"/>
      <c r="BV25" s="56"/>
      <c r="BW25" s="56"/>
    </row>
    <row r="26" spans="1:75" ht="18.649999999999999" customHeight="1" x14ac:dyDescent="0.35">
      <c r="A26" s="188" t="s">
        <v>1335</v>
      </c>
      <c r="B26" s="189" t="s">
        <v>381</v>
      </c>
      <c r="C26" s="187" t="s">
        <v>156</v>
      </c>
      <c r="D26" s="187" t="s">
        <v>156</v>
      </c>
      <c r="E26" s="187" t="s">
        <v>156</v>
      </c>
      <c r="F26" s="190" t="s">
        <v>1301</v>
      </c>
      <c r="G26" s="187" t="s">
        <v>346</v>
      </c>
      <c r="H26" s="187" t="s">
        <v>347</v>
      </c>
      <c r="I26" s="25" t="s">
        <v>952</v>
      </c>
      <c r="J26" s="187" t="s">
        <v>368</v>
      </c>
      <c r="K26" s="57" t="s">
        <v>384</v>
      </c>
      <c r="L26" s="57" t="s">
        <v>349</v>
      </c>
      <c r="M26" s="57" t="s">
        <v>156</v>
      </c>
      <c r="N26" s="25" t="s">
        <v>156</v>
      </c>
      <c r="O26" s="25" t="s">
        <v>346</v>
      </c>
      <c r="P26" s="25" t="s">
        <v>346</v>
      </c>
      <c r="Q26" s="52" t="s">
        <v>156</v>
      </c>
      <c r="R26" s="25" t="s">
        <v>156</v>
      </c>
      <c r="S26" s="25" t="s">
        <v>156</v>
      </c>
      <c r="T26" s="25" t="s">
        <v>156</v>
      </c>
      <c r="U26" s="25" t="s">
        <v>156</v>
      </c>
      <c r="V26" s="25" t="s">
        <v>156</v>
      </c>
      <c r="W26" s="25" t="s">
        <v>156</v>
      </c>
      <c r="X26" s="25" t="s">
        <v>156</v>
      </c>
      <c r="Y26" s="187" t="s">
        <v>168</v>
      </c>
      <c r="Z26" s="187" t="s">
        <v>400</v>
      </c>
      <c r="AA26" s="187" t="s">
        <v>679</v>
      </c>
      <c r="AB26" s="187" t="s">
        <v>364</v>
      </c>
      <c r="AC26" s="25" t="s">
        <v>363</v>
      </c>
      <c r="AD26" s="25" t="s">
        <v>156</v>
      </c>
      <c r="AE26" s="25" t="s">
        <v>1287</v>
      </c>
      <c r="AF26" s="25" t="s">
        <v>156</v>
      </c>
      <c r="AG26" s="25" t="s">
        <v>156</v>
      </c>
      <c r="AH26" s="25" t="s">
        <v>156</v>
      </c>
      <c r="AI26" s="25" t="s">
        <v>156</v>
      </c>
      <c r="AJ26" s="25" t="s">
        <v>156</v>
      </c>
      <c r="AK26" s="25" t="s">
        <v>1278</v>
      </c>
      <c r="AL26" s="25" t="s">
        <v>156</v>
      </c>
      <c r="AM26" s="25" t="s">
        <v>156</v>
      </c>
      <c r="AN26" s="25" t="s">
        <v>156</v>
      </c>
      <c r="AO26" s="25" t="s">
        <v>156</v>
      </c>
      <c r="AP26" s="25" t="s">
        <v>156</v>
      </c>
      <c r="AQ26" s="25" t="s">
        <v>156</v>
      </c>
      <c r="AR26" s="25" t="s">
        <v>156</v>
      </c>
      <c r="AS26" s="25" t="s">
        <v>156</v>
      </c>
      <c r="AT26" s="193"/>
      <c r="AU26" s="25">
        <v>4</v>
      </c>
      <c r="AV26" s="25" t="s">
        <v>347</v>
      </c>
      <c r="AW26" s="25" t="s">
        <v>347</v>
      </c>
      <c r="AX26" s="25" t="s">
        <v>347</v>
      </c>
      <c r="AY26" s="25" t="s">
        <v>347</v>
      </c>
      <c r="AZ26" s="25" t="s">
        <v>347</v>
      </c>
      <c r="BA26" s="25" t="s">
        <v>347</v>
      </c>
      <c r="BB26" s="25" t="s">
        <v>347</v>
      </c>
      <c r="BC26" s="25" t="s">
        <v>347</v>
      </c>
      <c r="BD26" s="25" t="s">
        <v>347</v>
      </c>
      <c r="BE26" s="25" t="s">
        <v>347</v>
      </c>
      <c r="BF26" s="25" t="s">
        <v>347</v>
      </c>
      <c r="BG26" s="25" t="s">
        <v>347</v>
      </c>
      <c r="BH26" s="25" t="s">
        <v>347</v>
      </c>
      <c r="BI26" s="25" t="s">
        <v>347</v>
      </c>
      <c r="BJ26" s="25" t="s">
        <v>347</v>
      </c>
      <c r="BK26" s="25" t="s">
        <v>347</v>
      </c>
      <c r="BL26" s="25" t="s">
        <v>347</v>
      </c>
      <c r="BM26" s="25" t="s">
        <v>347</v>
      </c>
      <c r="BN26" s="25" t="s">
        <v>347</v>
      </c>
      <c r="BO26" s="25" t="s">
        <v>347</v>
      </c>
      <c r="BP26" s="25" t="s">
        <v>347</v>
      </c>
      <c r="BQ26" s="25" t="s">
        <v>347</v>
      </c>
      <c r="BR26" s="25" t="s">
        <v>347</v>
      </c>
      <c r="BS26" s="58" t="s">
        <v>347</v>
      </c>
      <c r="BT26" s="56"/>
      <c r="BU26" s="56"/>
      <c r="BV26" s="56"/>
      <c r="BW26" s="56"/>
    </row>
    <row r="27" spans="1:75" x14ac:dyDescent="0.35">
      <c r="A27" s="188"/>
      <c r="B27" s="189"/>
      <c r="C27" s="187"/>
      <c r="D27" s="187"/>
      <c r="E27" s="187"/>
      <c r="F27" s="190"/>
      <c r="G27" s="187"/>
      <c r="H27" s="187"/>
      <c r="I27" s="52" t="s">
        <v>1336</v>
      </c>
      <c r="J27" s="187"/>
      <c r="K27" s="59" t="s">
        <v>156</v>
      </c>
      <c r="L27" s="59" t="s">
        <v>156</v>
      </c>
      <c r="M27" s="59" t="s">
        <v>156</v>
      </c>
      <c r="N27" s="52" t="s">
        <v>156</v>
      </c>
      <c r="O27" s="52" t="s">
        <v>156</v>
      </c>
      <c r="P27" s="52" t="s">
        <v>156</v>
      </c>
      <c r="Q27" s="52" t="s">
        <v>156</v>
      </c>
      <c r="R27" s="52" t="s">
        <v>156</v>
      </c>
      <c r="S27" s="52" t="s">
        <v>156</v>
      </c>
      <c r="T27" s="52" t="s">
        <v>156</v>
      </c>
      <c r="U27" s="52" t="s">
        <v>156</v>
      </c>
      <c r="V27" s="52" t="s">
        <v>156</v>
      </c>
      <c r="W27" s="52" t="s">
        <v>156</v>
      </c>
      <c r="X27" s="52" t="s">
        <v>156</v>
      </c>
      <c r="Y27" s="187"/>
      <c r="Z27" s="187"/>
      <c r="AA27" s="187"/>
      <c r="AB27" s="187"/>
      <c r="AC27" s="52" t="s">
        <v>156</v>
      </c>
      <c r="AD27" s="25" t="s">
        <v>156</v>
      </c>
      <c r="AE27" s="25" t="s">
        <v>156</v>
      </c>
      <c r="AF27" s="25" t="s">
        <v>156</v>
      </c>
      <c r="AG27" s="25" t="s">
        <v>156</v>
      </c>
      <c r="AH27" s="25" t="s">
        <v>156</v>
      </c>
      <c r="AI27" s="25" t="s">
        <v>156</v>
      </c>
      <c r="AJ27" s="25" t="s">
        <v>156</v>
      </c>
      <c r="AK27" s="25" t="s">
        <v>1278</v>
      </c>
      <c r="AL27" s="25" t="s">
        <v>156</v>
      </c>
      <c r="AM27" s="25" t="s">
        <v>156</v>
      </c>
      <c r="AN27" s="25" t="s">
        <v>156</v>
      </c>
      <c r="AO27" s="25" t="s">
        <v>156</v>
      </c>
      <c r="AP27" s="25" t="s">
        <v>156</v>
      </c>
      <c r="AQ27" s="25" t="s">
        <v>156</v>
      </c>
      <c r="AR27" s="25" t="s">
        <v>156</v>
      </c>
      <c r="AS27" s="25" t="s">
        <v>156</v>
      </c>
      <c r="AT27" s="193"/>
      <c r="AU27" s="25">
        <v>4</v>
      </c>
      <c r="AV27" s="25" t="s">
        <v>347</v>
      </c>
      <c r="AW27" s="25" t="s">
        <v>347</v>
      </c>
      <c r="AX27" s="25" t="s">
        <v>347</v>
      </c>
      <c r="AY27" s="25" t="s">
        <v>347</v>
      </c>
      <c r="AZ27" s="25" t="s">
        <v>347</v>
      </c>
      <c r="BA27" s="25" t="s">
        <v>347</v>
      </c>
      <c r="BB27" s="25" t="s">
        <v>347</v>
      </c>
      <c r="BC27" s="25" t="s">
        <v>347</v>
      </c>
      <c r="BD27" s="25" t="s">
        <v>347</v>
      </c>
      <c r="BE27" s="25" t="s">
        <v>347</v>
      </c>
      <c r="BF27" s="25" t="s">
        <v>347</v>
      </c>
      <c r="BG27" s="25" t="s">
        <v>347</v>
      </c>
      <c r="BH27" s="25" t="s">
        <v>347</v>
      </c>
      <c r="BI27" s="25" t="s">
        <v>347</v>
      </c>
      <c r="BJ27" s="25" t="s">
        <v>347</v>
      </c>
      <c r="BK27" s="25" t="s">
        <v>347</v>
      </c>
      <c r="BL27" s="25" t="s">
        <v>347</v>
      </c>
      <c r="BM27" s="25" t="s">
        <v>347</v>
      </c>
      <c r="BN27" s="25" t="s">
        <v>347</v>
      </c>
      <c r="BO27" s="25" t="s">
        <v>347</v>
      </c>
      <c r="BP27" s="25" t="s">
        <v>347</v>
      </c>
      <c r="BQ27" s="25" t="s">
        <v>347</v>
      </c>
      <c r="BR27" s="25" t="s">
        <v>347</v>
      </c>
      <c r="BS27" s="58" t="s">
        <v>347</v>
      </c>
      <c r="BT27" s="56"/>
      <c r="BU27" s="56"/>
      <c r="BV27" s="56"/>
      <c r="BW27" s="56"/>
    </row>
    <row r="28" spans="1:75" ht="14.5" customHeight="1" x14ac:dyDescent="0.35">
      <c r="A28" s="188" t="s">
        <v>1337</v>
      </c>
      <c r="B28" s="189" t="s">
        <v>156</v>
      </c>
      <c r="C28" s="189" t="s">
        <v>156</v>
      </c>
      <c r="D28" s="189" t="s">
        <v>381</v>
      </c>
      <c r="E28" s="189" t="s">
        <v>156</v>
      </c>
      <c r="F28" s="190" t="s">
        <v>1307</v>
      </c>
      <c r="G28" s="187" t="s">
        <v>346</v>
      </c>
      <c r="H28" s="187" t="s">
        <v>347</v>
      </c>
      <c r="I28" s="52" t="s">
        <v>1308</v>
      </c>
      <c r="J28" s="187" t="s">
        <v>368</v>
      </c>
      <c r="K28" s="57" t="s">
        <v>384</v>
      </c>
      <c r="L28" s="57" t="s">
        <v>349</v>
      </c>
      <c r="M28" s="57" t="s">
        <v>156</v>
      </c>
      <c r="N28" s="25" t="s">
        <v>156</v>
      </c>
      <c r="O28" s="25" t="s">
        <v>346</v>
      </c>
      <c r="P28" s="25" t="s">
        <v>346</v>
      </c>
      <c r="Q28" s="52" t="s">
        <v>156</v>
      </c>
      <c r="R28" s="25" t="s">
        <v>156</v>
      </c>
      <c r="S28" s="25" t="s">
        <v>156</v>
      </c>
      <c r="T28" s="25" t="s">
        <v>156</v>
      </c>
      <c r="U28" s="25" t="s">
        <v>156</v>
      </c>
      <c r="V28" s="25" t="s">
        <v>156</v>
      </c>
      <c r="W28" s="52" t="s">
        <v>156</v>
      </c>
      <c r="X28" s="52" t="s">
        <v>156</v>
      </c>
      <c r="Y28" s="187" t="s">
        <v>168</v>
      </c>
      <c r="Z28" s="187" t="s">
        <v>344</v>
      </c>
      <c r="AA28" s="187" t="s">
        <v>679</v>
      </c>
      <c r="AB28" s="187" t="s">
        <v>364</v>
      </c>
      <c r="AC28" s="52" t="s">
        <v>950</v>
      </c>
      <c r="AD28" s="52" t="s">
        <v>1287</v>
      </c>
      <c r="AE28" s="52" t="s">
        <v>1333</v>
      </c>
      <c r="AF28" s="25" t="s">
        <v>156</v>
      </c>
      <c r="AG28" s="25" t="s">
        <v>156</v>
      </c>
      <c r="AH28" s="25" t="s">
        <v>156</v>
      </c>
      <c r="AI28" s="25" t="s">
        <v>156</v>
      </c>
      <c r="AJ28" s="25" t="s">
        <v>156</v>
      </c>
      <c r="AK28" s="25" t="s">
        <v>1278</v>
      </c>
      <c r="AL28" s="25" t="s">
        <v>156</v>
      </c>
      <c r="AM28" s="25" t="s">
        <v>156</v>
      </c>
      <c r="AN28" s="25" t="s">
        <v>156</v>
      </c>
      <c r="AO28" s="25" t="s">
        <v>156</v>
      </c>
      <c r="AP28" s="25" t="s">
        <v>156</v>
      </c>
      <c r="AQ28" s="25" t="s">
        <v>156</v>
      </c>
      <c r="AR28" s="25" t="s">
        <v>156</v>
      </c>
      <c r="AS28" s="25" t="s">
        <v>156</v>
      </c>
      <c r="AT28" s="193"/>
      <c r="AU28" s="25">
        <v>4</v>
      </c>
      <c r="AV28" s="25" t="s">
        <v>347</v>
      </c>
      <c r="AW28" s="25" t="s">
        <v>347</v>
      </c>
      <c r="AX28" s="25" t="s">
        <v>347</v>
      </c>
      <c r="AY28" s="25" t="s">
        <v>347</v>
      </c>
      <c r="AZ28" s="25" t="s">
        <v>347</v>
      </c>
      <c r="BA28" s="25" t="s">
        <v>347</v>
      </c>
      <c r="BB28" s="25" t="s">
        <v>347</v>
      </c>
      <c r="BC28" s="25" t="s">
        <v>347</v>
      </c>
      <c r="BD28" s="25" t="s">
        <v>347</v>
      </c>
      <c r="BE28" s="25" t="s">
        <v>347</v>
      </c>
      <c r="BF28" s="25" t="s">
        <v>347</v>
      </c>
      <c r="BG28" s="25" t="s">
        <v>347</v>
      </c>
      <c r="BH28" s="25" t="s">
        <v>347</v>
      </c>
      <c r="BI28" s="25" t="s">
        <v>347</v>
      </c>
      <c r="BJ28" s="25" t="s">
        <v>347</v>
      </c>
      <c r="BK28" s="25" t="s">
        <v>347</v>
      </c>
      <c r="BL28" s="25" t="s">
        <v>347</v>
      </c>
      <c r="BM28" s="25" t="s">
        <v>347</v>
      </c>
      <c r="BN28" s="25" t="s">
        <v>347</v>
      </c>
      <c r="BO28" s="25" t="s">
        <v>347</v>
      </c>
      <c r="BP28" s="25" t="s">
        <v>347</v>
      </c>
      <c r="BQ28" s="25" t="s">
        <v>347</v>
      </c>
      <c r="BR28" s="25" t="s">
        <v>347</v>
      </c>
      <c r="BS28" s="58" t="s">
        <v>347</v>
      </c>
      <c r="BT28" s="56"/>
      <c r="BU28" s="56"/>
      <c r="BV28" s="56"/>
      <c r="BW28" s="56"/>
    </row>
    <row r="29" spans="1:75" x14ac:dyDescent="0.35">
      <c r="A29" s="188"/>
      <c r="B29" s="189"/>
      <c r="C29" s="189"/>
      <c r="D29" s="189"/>
      <c r="E29" s="189"/>
      <c r="F29" s="190"/>
      <c r="G29" s="187"/>
      <c r="H29" s="187"/>
      <c r="I29" s="52" t="s">
        <v>1311</v>
      </c>
      <c r="J29" s="187"/>
      <c r="K29" s="59" t="s">
        <v>156</v>
      </c>
      <c r="L29" s="59" t="s">
        <v>156</v>
      </c>
      <c r="M29" s="59" t="s">
        <v>156</v>
      </c>
      <c r="N29" s="52" t="s">
        <v>156</v>
      </c>
      <c r="O29" s="25" t="s">
        <v>346</v>
      </c>
      <c r="P29" s="25" t="s">
        <v>346</v>
      </c>
      <c r="Q29" s="52" t="s">
        <v>156</v>
      </c>
      <c r="R29" s="25" t="s">
        <v>156</v>
      </c>
      <c r="S29" s="25" t="s">
        <v>156</v>
      </c>
      <c r="T29" s="25" t="s">
        <v>156</v>
      </c>
      <c r="U29" s="25" t="s">
        <v>156</v>
      </c>
      <c r="V29" s="25" t="s">
        <v>156</v>
      </c>
      <c r="W29" s="52" t="s">
        <v>156</v>
      </c>
      <c r="X29" s="52" t="s">
        <v>156</v>
      </c>
      <c r="Y29" s="187"/>
      <c r="Z29" s="187"/>
      <c r="AA29" s="187"/>
      <c r="AB29" s="187"/>
      <c r="AC29" s="52" t="s">
        <v>156</v>
      </c>
      <c r="AD29" s="52" t="s">
        <v>156</v>
      </c>
      <c r="AE29" s="52" t="s">
        <v>156</v>
      </c>
      <c r="AF29" s="25" t="s">
        <v>156</v>
      </c>
      <c r="AG29" s="25" t="s">
        <v>156</v>
      </c>
      <c r="AH29" s="25" t="s">
        <v>156</v>
      </c>
      <c r="AI29" s="25" t="s">
        <v>156</v>
      </c>
      <c r="AJ29" s="25" t="s">
        <v>156</v>
      </c>
      <c r="AK29" s="25" t="s">
        <v>1278</v>
      </c>
      <c r="AL29" s="25" t="s">
        <v>156</v>
      </c>
      <c r="AM29" s="25" t="s">
        <v>156</v>
      </c>
      <c r="AN29" s="25" t="s">
        <v>156</v>
      </c>
      <c r="AO29" s="25" t="s">
        <v>156</v>
      </c>
      <c r="AP29" s="25" t="s">
        <v>156</v>
      </c>
      <c r="AQ29" s="25" t="s">
        <v>156</v>
      </c>
      <c r="AR29" s="25" t="s">
        <v>156</v>
      </c>
      <c r="AS29" s="25" t="s">
        <v>156</v>
      </c>
      <c r="AT29" s="193"/>
      <c r="AU29" s="25">
        <v>4</v>
      </c>
      <c r="AV29" s="25" t="s">
        <v>347</v>
      </c>
      <c r="AW29" s="25" t="s">
        <v>347</v>
      </c>
      <c r="AX29" s="25" t="s">
        <v>347</v>
      </c>
      <c r="AY29" s="25" t="s">
        <v>347</v>
      </c>
      <c r="AZ29" s="25" t="s">
        <v>347</v>
      </c>
      <c r="BA29" s="25" t="s">
        <v>347</v>
      </c>
      <c r="BB29" s="25" t="s">
        <v>347</v>
      </c>
      <c r="BC29" s="25" t="s">
        <v>347</v>
      </c>
      <c r="BD29" s="25" t="s">
        <v>347</v>
      </c>
      <c r="BE29" s="25" t="s">
        <v>347</v>
      </c>
      <c r="BF29" s="25" t="s">
        <v>347</v>
      </c>
      <c r="BG29" s="25" t="s">
        <v>347</v>
      </c>
      <c r="BH29" s="25" t="s">
        <v>347</v>
      </c>
      <c r="BI29" s="25" t="s">
        <v>347</v>
      </c>
      <c r="BJ29" s="25" t="s">
        <v>347</v>
      </c>
      <c r="BK29" s="25" t="s">
        <v>347</v>
      </c>
      <c r="BL29" s="25" t="s">
        <v>347</v>
      </c>
      <c r="BM29" s="25" t="s">
        <v>347</v>
      </c>
      <c r="BN29" s="25" t="s">
        <v>347</v>
      </c>
      <c r="BO29" s="25" t="s">
        <v>347</v>
      </c>
      <c r="BP29" s="25" t="s">
        <v>347</v>
      </c>
      <c r="BQ29" s="25" t="s">
        <v>347</v>
      </c>
      <c r="BR29" s="25" t="s">
        <v>347</v>
      </c>
      <c r="BS29" s="58" t="s">
        <v>347</v>
      </c>
      <c r="BT29" s="56"/>
      <c r="BU29" s="56"/>
      <c r="BV29" s="56"/>
      <c r="BW29" s="56"/>
    </row>
    <row r="30" spans="1:75" ht="14.5" customHeight="1" x14ac:dyDescent="0.35">
      <c r="A30" s="188" t="s">
        <v>1338</v>
      </c>
      <c r="B30" s="189" t="s">
        <v>156</v>
      </c>
      <c r="C30" s="189" t="s">
        <v>156</v>
      </c>
      <c r="D30" s="189" t="s">
        <v>381</v>
      </c>
      <c r="E30" s="189" t="s">
        <v>156</v>
      </c>
      <c r="F30" s="190" t="s">
        <v>1339</v>
      </c>
      <c r="G30" s="187" t="s">
        <v>347</v>
      </c>
      <c r="H30" s="187" t="s">
        <v>346</v>
      </c>
      <c r="I30" s="52" t="s">
        <v>1317</v>
      </c>
      <c r="J30" s="187" t="s">
        <v>368</v>
      </c>
      <c r="K30" s="59" t="s">
        <v>156</v>
      </c>
      <c r="L30" s="59" t="s">
        <v>156</v>
      </c>
      <c r="M30" s="59" t="s">
        <v>156</v>
      </c>
      <c r="N30" s="52" t="s">
        <v>156</v>
      </c>
      <c r="O30" s="25" t="s">
        <v>346</v>
      </c>
      <c r="P30" s="25" t="s">
        <v>346</v>
      </c>
      <c r="Q30" s="52" t="s">
        <v>156</v>
      </c>
      <c r="R30" s="25" t="s">
        <v>156</v>
      </c>
      <c r="S30" s="25" t="s">
        <v>156</v>
      </c>
      <c r="T30" s="25" t="s">
        <v>156</v>
      </c>
      <c r="U30" s="25" t="s">
        <v>156</v>
      </c>
      <c r="V30" s="25" t="s">
        <v>156</v>
      </c>
      <c r="W30" s="52" t="s">
        <v>156</v>
      </c>
      <c r="X30" s="52" t="s">
        <v>156</v>
      </c>
      <c r="Y30" s="187" t="s">
        <v>168</v>
      </c>
      <c r="Z30" s="187" t="s">
        <v>344</v>
      </c>
      <c r="AA30" s="187" t="s">
        <v>679</v>
      </c>
      <c r="AB30" s="187" t="s">
        <v>364</v>
      </c>
      <c r="AC30" s="52" t="s">
        <v>156</v>
      </c>
      <c r="AD30" s="52" t="s">
        <v>156</v>
      </c>
      <c r="AE30" s="52" t="s">
        <v>156</v>
      </c>
      <c r="AF30" s="25" t="s">
        <v>156</v>
      </c>
      <c r="AG30" s="25" t="s">
        <v>156</v>
      </c>
      <c r="AH30" s="25" t="s">
        <v>156</v>
      </c>
      <c r="AI30" s="25" t="s">
        <v>156</v>
      </c>
      <c r="AJ30" s="25" t="s">
        <v>156</v>
      </c>
      <c r="AK30" s="25" t="s">
        <v>1278</v>
      </c>
      <c r="AL30" s="25" t="s">
        <v>156</v>
      </c>
      <c r="AM30" s="25" t="s">
        <v>156</v>
      </c>
      <c r="AN30" s="25" t="s">
        <v>156</v>
      </c>
      <c r="AO30" s="25" t="s">
        <v>156</v>
      </c>
      <c r="AP30" s="25" t="s">
        <v>156</v>
      </c>
      <c r="AQ30" s="25" t="s">
        <v>156</v>
      </c>
      <c r="AR30" s="25" t="s">
        <v>156</v>
      </c>
      <c r="AS30" s="25" t="s">
        <v>156</v>
      </c>
      <c r="AT30" s="193"/>
      <c r="AU30" s="25">
        <v>4</v>
      </c>
      <c r="AV30" s="25" t="s">
        <v>347</v>
      </c>
      <c r="AW30" s="25" t="s">
        <v>347</v>
      </c>
      <c r="AX30" s="25" t="s">
        <v>347</v>
      </c>
      <c r="AY30" s="25" t="s">
        <v>347</v>
      </c>
      <c r="AZ30" s="25" t="s">
        <v>347</v>
      </c>
      <c r="BA30" s="25" t="s">
        <v>347</v>
      </c>
      <c r="BB30" s="25" t="s">
        <v>347</v>
      </c>
      <c r="BC30" s="25" t="s">
        <v>347</v>
      </c>
      <c r="BD30" s="25" t="s">
        <v>347</v>
      </c>
      <c r="BE30" s="25" t="s">
        <v>347</v>
      </c>
      <c r="BF30" s="25" t="s">
        <v>347</v>
      </c>
      <c r="BG30" s="25" t="s">
        <v>347</v>
      </c>
      <c r="BH30" s="25" t="s">
        <v>347</v>
      </c>
      <c r="BI30" s="25" t="s">
        <v>347</v>
      </c>
      <c r="BJ30" s="25" t="s">
        <v>347</v>
      </c>
      <c r="BK30" s="25" t="s">
        <v>347</v>
      </c>
      <c r="BL30" s="25" t="s">
        <v>347</v>
      </c>
      <c r="BM30" s="25" t="s">
        <v>347</v>
      </c>
      <c r="BN30" s="25" t="s">
        <v>347</v>
      </c>
      <c r="BO30" s="25" t="s">
        <v>347</v>
      </c>
      <c r="BP30" s="25" t="s">
        <v>347</v>
      </c>
      <c r="BQ30" s="25" t="s">
        <v>347</v>
      </c>
      <c r="BR30" s="25" t="s">
        <v>347</v>
      </c>
      <c r="BS30" s="58" t="s">
        <v>347</v>
      </c>
      <c r="BT30" s="56"/>
      <c r="BU30" s="56"/>
      <c r="BV30" s="56"/>
      <c r="BW30" s="56"/>
    </row>
    <row r="31" spans="1:75" x14ac:dyDescent="0.35">
      <c r="A31" s="188"/>
      <c r="B31" s="189"/>
      <c r="C31" s="189"/>
      <c r="D31" s="189"/>
      <c r="E31" s="189"/>
      <c r="F31" s="190"/>
      <c r="G31" s="187"/>
      <c r="H31" s="187"/>
      <c r="I31" s="52" t="s">
        <v>952</v>
      </c>
      <c r="J31" s="187"/>
      <c r="K31" s="52" t="s">
        <v>384</v>
      </c>
      <c r="L31" s="52" t="s">
        <v>349</v>
      </c>
      <c r="M31" s="52" t="s">
        <v>156</v>
      </c>
      <c r="N31" s="52" t="s">
        <v>156</v>
      </c>
      <c r="O31" s="25" t="s">
        <v>346</v>
      </c>
      <c r="P31" s="25" t="s">
        <v>346</v>
      </c>
      <c r="Q31" s="52" t="s">
        <v>156</v>
      </c>
      <c r="R31" s="25" t="s">
        <v>156</v>
      </c>
      <c r="S31" s="25" t="s">
        <v>156</v>
      </c>
      <c r="T31" s="25" t="s">
        <v>156</v>
      </c>
      <c r="U31" s="25" t="s">
        <v>156</v>
      </c>
      <c r="V31" s="25" t="s">
        <v>156</v>
      </c>
      <c r="W31" s="52" t="s">
        <v>156</v>
      </c>
      <c r="X31" s="52" t="s">
        <v>156</v>
      </c>
      <c r="Y31" s="187"/>
      <c r="Z31" s="187"/>
      <c r="AA31" s="187"/>
      <c r="AB31" s="187"/>
      <c r="AC31" s="52" t="s">
        <v>363</v>
      </c>
      <c r="AD31" s="25" t="s">
        <v>156</v>
      </c>
      <c r="AE31" s="25" t="s">
        <v>1288</v>
      </c>
      <c r="AF31" s="25" t="s">
        <v>156</v>
      </c>
      <c r="AG31" s="25" t="s">
        <v>156</v>
      </c>
      <c r="AH31" s="25" t="s">
        <v>156</v>
      </c>
      <c r="AI31" s="25" t="s">
        <v>156</v>
      </c>
      <c r="AJ31" s="25" t="s">
        <v>156</v>
      </c>
      <c r="AK31" s="25" t="s">
        <v>1278</v>
      </c>
      <c r="AL31" s="25" t="s">
        <v>156</v>
      </c>
      <c r="AM31" s="25" t="s">
        <v>156</v>
      </c>
      <c r="AN31" s="25" t="s">
        <v>156</v>
      </c>
      <c r="AO31" s="25" t="s">
        <v>156</v>
      </c>
      <c r="AP31" s="25" t="s">
        <v>156</v>
      </c>
      <c r="AQ31" s="25" t="s">
        <v>156</v>
      </c>
      <c r="AR31" s="25" t="s">
        <v>156</v>
      </c>
      <c r="AS31" s="25" t="s">
        <v>156</v>
      </c>
      <c r="AT31" s="193"/>
      <c r="AU31" s="25">
        <v>4</v>
      </c>
      <c r="AV31" s="25" t="s">
        <v>347</v>
      </c>
      <c r="AW31" s="25" t="s">
        <v>347</v>
      </c>
      <c r="AX31" s="25" t="s">
        <v>347</v>
      </c>
      <c r="AY31" s="25" t="s">
        <v>347</v>
      </c>
      <c r="AZ31" s="25" t="s">
        <v>347</v>
      </c>
      <c r="BA31" s="25" t="s">
        <v>347</v>
      </c>
      <c r="BB31" s="25" t="s">
        <v>347</v>
      </c>
      <c r="BC31" s="25" t="s">
        <v>347</v>
      </c>
      <c r="BD31" s="25" t="s">
        <v>347</v>
      </c>
      <c r="BE31" s="25" t="s">
        <v>347</v>
      </c>
      <c r="BF31" s="25" t="s">
        <v>347</v>
      </c>
      <c r="BG31" s="25" t="s">
        <v>347</v>
      </c>
      <c r="BH31" s="25" t="s">
        <v>347</v>
      </c>
      <c r="BI31" s="25" t="s">
        <v>347</v>
      </c>
      <c r="BJ31" s="25" t="s">
        <v>347</v>
      </c>
      <c r="BK31" s="25" t="s">
        <v>347</v>
      </c>
      <c r="BL31" s="25" t="s">
        <v>347</v>
      </c>
      <c r="BM31" s="25" t="s">
        <v>347</v>
      </c>
      <c r="BN31" s="25" t="s">
        <v>347</v>
      </c>
      <c r="BO31" s="25" t="s">
        <v>347</v>
      </c>
      <c r="BP31" s="25" t="s">
        <v>347</v>
      </c>
      <c r="BQ31" s="25" t="s">
        <v>347</v>
      </c>
      <c r="BR31" s="25" t="s">
        <v>347</v>
      </c>
      <c r="BS31" s="58" t="s">
        <v>347</v>
      </c>
      <c r="BT31" s="56"/>
      <c r="BU31" s="56"/>
      <c r="BV31" s="56"/>
      <c r="BW31" s="56"/>
    </row>
    <row r="32" spans="1:75" x14ac:dyDescent="0.35">
      <c r="AT32" s="26" t="s">
        <v>133</v>
      </c>
      <c r="AU32" s="26">
        <f>SUM(AU4:AU31)</f>
        <v>112</v>
      </c>
    </row>
    <row r="41" spans="72:75" x14ac:dyDescent="0.35">
      <c r="BT41" s="2"/>
      <c r="BU41" s="2"/>
      <c r="BV41" s="2"/>
      <c r="BW41" s="2"/>
    </row>
    <row r="42" spans="72:75" x14ac:dyDescent="0.35">
      <c r="BU42" s="60"/>
      <c r="BV42" s="60"/>
    </row>
    <row r="45" spans="72:75" x14ac:dyDescent="0.35">
      <c r="BU45" s="24"/>
      <c r="BV45" s="24"/>
    </row>
    <row r="46" spans="72:75" x14ac:dyDescent="0.35">
      <c r="BU46" s="2"/>
      <c r="BV46" s="2"/>
    </row>
    <row r="47" spans="72:75" x14ac:dyDescent="0.35">
      <c r="BT47" s="2"/>
      <c r="BU47" s="2"/>
      <c r="BV47" s="2"/>
      <c r="BW47" s="2"/>
    </row>
    <row r="50" spans="72:75" x14ac:dyDescent="0.35">
      <c r="BU50" s="60"/>
      <c r="BV50" s="60"/>
    </row>
    <row r="55" spans="72:75" x14ac:dyDescent="0.35">
      <c r="BT55" s="44"/>
      <c r="BU55" s="44"/>
      <c r="BV55" s="44"/>
      <c r="BW55" s="44"/>
    </row>
  </sheetData>
  <mergeCells count="228">
    <mergeCell ref="L1:L3"/>
    <mergeCell ref="M1:M3"/>
    <mergeCell ref="N1:N3"/>
    <mergeCell ref="O1:O3"/>
    <mergeCell ref="P1:P3"/>
    <mergeCell ref="Q1:Q3"/>
    <mergeCell ref="A1:A3"/>
    <mergeCell ref="B1:E1"/>
    <mergeCell ref="F1:H1"/>
    <mergeCell ref="I1:I3"/>
    <mergeCell ref="J1:J3"/>
    <mergeCell ref="K1:K3"/>
    <mergeCell ref="Z1:Z3"/>
    <mergeCell ref="AA1:AA3"/>
    <mergeCell ref="AB1:AB3"/>
    <mergeCell ref="AC1:AC3"/>
    <mergeCell ref="R1:R3"/>
    <mergeCell ref="S1:S3"/>
    <mergeCell ref="T1:T3"/>
    <mergeCell ref="U1:U3"/>
    <mergeCell ref="V1:V3"/>
    <mergeCell ref="W1:W3"/>
    <mergeCell ref="AU1:AU3"/>
    <mergeCell ref="AV1:BS1"/>
    <mergeCell ref="B2:B3"/>
    <mergeCell ref="C2:C3"/>
    <mergeCell ref="D2:D3"/>
    <mergeCell ref="E2:E3"/>
    <mergeCell ref="F2:F3"/>
    <mergeCell ref="G2:G3"/>
    <mergeCell ref="H2:H3"/>
    <mergeCell ref="AV2:AW2"/>
    <mergeCell ref="AL1:AM2"/>
    <mergeCell ref="AN1:AN3"/>
    <mergeCell ref="AO1:AO3"/>
    <mergeCell ref="AP1:AP3"/>
    <mergeCell ref="AQ1:AS2"/>
    <mergeCell ref="AT1:AT3"/>
    <mergeCell ref="AD1:AD3"/>
    <mergeCell ref="AE1:AE3"/>
    <mergeCell ref="AF1:AF3"/>
    <mergeCell ref="AG1:AG3"/>
    <mergeCell ref="AH1:AH3"/>
    <mergeCell ref="AI1:AK2"/>
    <mergeCell ref="X1:X3"/>
    <mergeCell ref="Y1:Y3"/>
    <mergeCell ref="BI2:BI3"/>
    <mergeCell ref="BJ2:BJ3"/>
    <mergeCell ref="BK2:BM2"/>
    <mergeCell ref="BN2:BQ2"/>
    <mergeCell ref="BR2:BR3"/>
    <mergeCell ref="BS2:BS3"/>
    <mergeCell ref="AX2:AX3"/>
    <mergeCell ref="AY2:AZ2"/>
    <mergeCell ref="BA2:BA3"/>
    <mergeCell ref="BB2:BB3"/>
    <mergeCell ref="BD2:BG2"/>
    <mergeCell ref="BH2:BH3"/>
    <mergeCell ref="AB4:AB5"/>
    <mergeCell ref="AT4:AT31"/>
    <mergeCell ref="A6:A7"/>
    <mergeCell ref="B6:B7"/>
    <mergeCell ref="C6:C7"/>
    <mergeCell ref="D6:D7"/>
    <mergeCell ref="E6:E7"/>
    <mergeCell ref="F6:F7"/>
    <mergeCell ref="G6:G7"/>
    <mergeCell ref="H6:H7"/>
    <mergeCell ref="G4:G5"/>
    <mergeCell ref="H4:H5"/>
    <mergeCell ref="J4:J5"/>
    <mergeCell ref="Y4:Y5"/>
    <mergeCell ref="Z4:Z5"/>
    <mergeCell ref="AA4:AA5"/>
    <mergeCell ref="A4:A5"/>
    <mergeCell ref="B4:B5"/>
    <mergeCell ref="C4:C5"/>
    <mergeCell ref="D4:D5"/>
    <mergeCell ref="E4:E5"/>
    <mergeCell ref="F4:F5"/>
    <mergeCell ref="J6:J7"/>
    <mergeCell ref="Y6:Y7"/>
    <mergeCell ref="G10:G11"/>
    <mergeCell ref="H10:H11"/>
    <mergeCell ref="F8:F9"/>
    <mergeCell ref="G8:G9"/>
    <mergeCell ref="H8:H9"/>
    <mergeCell ref="Z6:Z7"/>
    <mergeCell ref="AA6:AA7"/>
    <mergeCell ref="AB6:AB7"/>
    <mergeCell ref="A8:A9"/>
    <mergeCell ref="B8:B9"/>
    <mergeCell ref="C8:C9"/>
    <mergeCell ref="D8:D9"/>
    <mergeCell ref="E8:E9"/>
    <mergeCell ref="AA8:AA9"/>
    <mergeCell ref="AB8:AB9"/>
    <mergeCell ref="J8:J9"/>
    <mergeCell ref="Y8:Y9"/>
    <mergeCell ref="Z8:Z9"/>
    <mergeCell ref="F12:F13"/>
    <mergeCell ref="G12:G13"/>
    <mergeCell ref="H12:H13"/>
    <mergeCell ref="J10:J11"/>
    <mergeCell ref="Y10:Y11"/>
    <mergeCell ref="Z10:Z11"/>
    <mergeCell ref="AA10:AA11"/>
    <mergeCell ref="AB10:AB11"/>
    <mergeCell ref="A12:A13"/>
    <mergeCell ref="B12:B13"/>
    <mergeCell ref="C12:C13"/>
    <mergeCell ref="D12:D13"/>
    <mergeCell ref="E12:E13"/>
    <mergeCell ref="AA12:AA13"/>
    <mergeCell ref="AB12:AB13"/>
    <mergeCell ref="J12:J13"/>
    <mergeCell ref="Y12:Y13"/>
    <mergeCell ref="Z12:Z13"/>
    <mergeCell ref="A10:A11"/>
    <mergeCell ref="B10:B11"/>
    <mergeCell ref="C10:C11"/>
    <mergeCell ref="D10:D11"/>
    <mergeCell ref="E10:E11"/>
    <mergeCell ref="F10:F11"/>
    <mergeCell ref="AB14:AB16"/>
    <mergeCell ref="A17:A19"/>
    <mergeCell ref="B17:B19"/>
    <mergeCell ref="C17:C19"/>
    <mergeCell ref="D17:D19"/>
    <mergeCell ref="E17:E19"/>
    <mergeCell ref="AA17:AA19"/>
    <mergeCell ref="AB17:AB19"/>
    <mergeCell ref="J17:J19"/>
    <mergeCell ref="Y17:Y19"/>
    <mergeCell ref="Z17:Z19"/>
    <mergeCell ref="A14:A16"/>
    <mergeCell ref="B14:B16"/>
    <mergeCell ref="C14:C16"/>
    <mergeCell ref="D14:D16"/>
    <mergeCell ref="E14:E16"/>
    <mergeCell ref="F14:F16"/>
    <mergeCell ref="G14:G16"/>
    <mergeCell ref="H14:H16"/>
    <mergeCell ref="G20:G21"/>
    <mergeCell ref="H20:H21"/>
    <mergeCell ref="F17:F19"/>
    <mergeCell ref="G17:G19"/>
    <mergeCell ref="H17:H19"/>
    <mergeCell ref="J14:J16"/>
    <mergeCell ref="Y14:Y16"/>
    <mergeCell ref="Z14:Z16"/>
    <mergeCell ref="AA14:AA16"/>
    <mergeCell ref="F22:F23"/>
    <mergeCell ref="G22:G23"/>
    <mergeCell ref="H22:H23"/>
    <mergeCell ref="J20:J21"/>
    <mergeCell ref="Y20:Y21"/>
    <mergeCell ref="Z20:Z21"/>
    <mergeCell ref="AA20:AA21"/>
    <mergeCell ref="AB20:AB21"/>
    <mergeCell ref="A22:A23"/>
    <mergeCell ref="B22:B23"/>
    <mergeCell ref="C22:C23"/>
    <mergeCell ref="D22:D23"/>
    <mergeCell ref="E22:E23"/>
    <mergeCell ref="AA22:AA23"/>
    <mergeCell ref="AB22:AB23"/>
    <mergeCell ref="J22:J23"/>
    <mergeCell ref="Y22:Y23"/>
    <mergeCell ref="Z22:Z23"/>
    <mergeCell ref="A20:A21"/>
    <mergeCell ref="B20:B21"/>
    <mergeCell ref="C20:C21"/>
    <mergeCell ref="D20:D21"/>
    <mergeCell ref="E20:E21"/>
    <mergeCell ref="F20:F21"/>
    <mergeCell ref="J24:J25"/>
    <mergeCell ref="Y24:Y25"/>
    <mergeCell ref="Z24:Z25"/>
    <mergeCell ref="AA24:AA25"/>
    <mergeCell ref="AB24:AB25"/>
    <mergeCell ref="A26:A27"/>
    <mergeCell ref="B26:B27"/>
    <mergeCell ref="C26:C27"/>
    <mergeCell ref="D26:D27"/>
    <mergeCell ref="E26:E27"/>
    <mergeCell ref="A24:A25"/>
    <mergeCell ref="B24:B25"/>
    <mergeCell ref="C24:C25"/>
    <mergeCell ref="D24:D25"/>
    <mergeCell ref="E24:E25"/>
    <mergeCell ref="F24:F25"/>
    <mergeCell ref="G24:G25"/>
    <mergeCell ref="H24:H25"/>
    <mergeCell ref="A30:A31"/>
    <mergeCell ref="B30:B31"/>
    <mergeCell ref="C30:C31"/>
    <mergeCell ref="D30:D31"/>
    <mergeCell ref="E30:E31"/>
    <mergeCell ref="AA26:AA27"/>
    <mergeCell ref="AB26:AB27"/>
    <mergeCell ref="A28:A29"/>
    <mergeCell ref="B28:B29"/>
    <mergeCell ref="C28:C29"/>
    <mergeCell ref="D28:D29"/>
    <mergeCell ref="E28:E29"/>
    <mergeCell ref="F28:F29"/>
    <mergeCell ref="G28:G29"/>
    <mergeCell ref="H28:H29"/>
    <mergeCell ref="F26:F27"/>
    <mergeCell ref="G26:G27"/>
    <mergeCell ref="H26:H27"/>
    <mergeCell ref="J26:J27"/>
    <mergeCell ref="Y26:Y27"/>
    <mergeCell ref="Z26:Z27"/>
    <mergeCell ref="AA30:AA31"/>
    <mergeCell ref="AB30:AB31"/>
    <mergeCell ref="F30:F31"/>
    <mergeCell ref="AB28:AB29"/>
    <mergeCell ref="G30:G31"/>
    <mergeCell ref="H30:H31"/>
    <mergeCell ref="J30:J31"/>
    <mergeCell ref="Y30:Y31"/>
    <mergeCell ref="Z30:Z31"/>
    <mergeCell ref="J28:J29"/>
    <mergeCell ref="Y28:Y29"/>
    <mergeCell ref="Z28:Z29"/>
    <mergeCell ref="AA28:AA29"/>
  </mergeCells>
  <phoneticPr fontId="1" type="noConversion"/>
  <pageMargins left="0.7" right="0.7" top="0.75" bottom="0.75" header="0.3" footer="0.3"/>
  <headerFooter>
    <oddFooter>&amp;L_x000D_&amp;1#&amp;"Aptos"&amp;10&amp;KFF0000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EDAFB0F1AE60458E402AFBFE4510F5" ma:contentTypeVersion="10" ma:contentTypeDescription="Create a new document." ma:contentTypeScope="" ma:versionID="9636c13522da1dab7e8315c3997b7ae3">
  <xsd:schema xmlns:xsd="http://www.w3.org/2001/XMLSchema" xmlns:xs="http://www.w3.org/2001/XMLSchema" xmlns:p="http://schemas.microsoft.com/office/2006/metadata/properties" xmlns:ns2="c747c2af-dcaf-464d-84f4-127755156d6e" xmlns:ns3="5d2d922d-cc24-44ed-b1aa-e0a2a8540c0f" targetNamespace="http://schemas.microsoft.com/office/2006/metadata/properties" ma:root="true" ma:fieldsID="dda63fbc92976f36f2bc30b15cdd0ce5" ns2:_="" ns3:_="">
    <xsd:import namespace="c747c2af-dcaf-464d-84f4-127755156d6e"/>
    <xsd:import namespace="5d2d922d-cc24-44ed-b1aa-e0a2a8540c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47c2af-dcaf-464d-84f4-127755156d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2d922d-cc24-44ed-b1aa-e0a2a8540c0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0ba5ee-831a-4666-abda-16b817637958}" ma:internalName="TaxCatchAll" ma:showField="CatchAllData" ma:web="5d2d922d-cc24-44ed-b1aa-e0a2a8540c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2d922d-cc24-44ed-b1aa-e0a2a8540c0f" xsi:nil="true"/>
    <lcf76f155ced4ddcb4097134ff3c332f xmlns="c747c2af-dcaf-464d-84f4-127755156d6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CAE6D0-ADD4-408E-8BCA-DF449AD23F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47c2af-dcaf-464d-84f4-127755156d6e"/>
    <ds:schemaRef ds:uri="5d2d922d-cc24-44ed-b1aa-e0a2a8540c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51337F-1E93-4B6A-9FAB-2B9AEB5094CA}">
  <ds:schemaRefs>
    <ds:schemaRef ds:uri="http://schemas.microsoft.com/sharepoint/v3/contenttype/forms"/>
  </ds:schemaRefs>
</ds:datastoreItem>
</file>

<file path=customXml/itemProps3.xml><?xml version="1.0" encoding="utf-8"?>
<ds:datastoreItem xmlns:ds="http://schemas.openxmlformats.org/officeDocument/2006/customXml" ds:itemID="{21611AB2-DDE4-4D7F-A37B-D9CCAAFC5427}">
  <ds:schemaRefs>
    <ds:schemaRef ds:uri="http://schemas.openxmlformats.org/package/2006/metadata/core-properties"/>
    <ds:schemaRef ds:uri="http://purl.org/dc/elements/1.1/"/>
    <ds:schemaRef ds:uri="http://schemas.microsoft.com/office/2006/metadata/properties"/>
    <ds:schemaRef ds:uri="5d2d922d-cc24-44ed-b1aa-e0a2a8540c0f"/>
    <ds:schemaRef ds:uri="http://schemas.microsoft.com/office/2006/documentManagement/types"/>
    <ds:schemaRef ds:uri="c747c2af-dcaf-464d-84f4-127755156d6e"/>
    <ds:schemaRef ds:uri="http://purl.org/dc/terms/"/>
    <ds:schemaRef ds:uri="http://purl.org/dc/dcmitype/"/>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Testing considerations (2)</vt:lpstr>
      <vt:lpstr>Summary</vt:lpstr>
      <vt:lpstr>Fixed_Quote and orders</vt:lpstr>
      <vt:lpstr>E2E orders</vt:lpstr>
      <vt:lpstr>Review comments</vt:lpstr>
      <vt:lpstr>Testcase Verification</vt:lpstr>
      <vt:lpstr>Testing considerations</vt:lpstr>
      <vt:lpstr>Complex E2E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RAMYA</dc:creator>
  <cp:keywords/>
  <dc:description/>
  <cp:lastModifiedBy>PAVITHRA P</cp:lastModifiedBy>
  <cp:revision/>
  <dcterms:created xsi:type="dcterms:W3CDTF">2026-02-20T10:42:50Z</dcterms:created>
  <dcterms:modified xsi:type="dcterms:W3CDTF">2026-09-08T11:10:00Z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9f76ac-c451-45d8-bdf0-9a412a8a92d4_Enabled">
    <vt:lpwstr>true</vt:lpwstr>
  </property>
  <property fmtid="{D5CDD505-2E9C-101B-9397-08002B2CF9AE}" pid="3" name="MSIP_Label_7d9f76ac-c451-45d8-bdf0-9a412a8a92d4_SetDate">
    <vt:lpwstr>2026-05-14T01:21:13Z</vt:lpwstr>
  </property>
  <property fmtid="{D5CDD505-2E9C-101B-9397-08002B2CF9AE}" pid="4" name="MSIP_Label_7d9f76ac-c451-45d8-bdf0-9a412a8a92d4_Method">
    <vt:lpwstr>Standard</vt:lpwstr>
  </property>
  <property fmtid="{D5CDD505-2E9C-101B-9397-08002B2CF9AE}" pid="5" name="MSIP_Label_7d9f76ac-c451-45d8-bdf0-9a412a8a92d4_Name">
    <vt:lpwstr>Confidential</vt:lpwstr>
  </property>
  <property fmtid="{D5CDD505-2E9C-101B-9397-08002B2CF9AE}" pid="6" name="MSIP_Label_7d9f76ac-c451-45d8-bdf0-9a412a8a92d4_SiteId">
    <vt:lpwstr>962eac56-3e0a-4f69-b806-ab958060d246</vt:lpwstr>
  </property>
  <property fmtid="{D5CDD505-2E9C-101B-9397-08002B2CF9AE}" pid="7" name="MSIP_Label_7d9f76ac-c451-45d8-bdf0-9a412a8a92d4_ActionId">
    <vt:lpwstr>da97aa72-23fb-4ad7-94a3-89210cabde19</vt:lpwstr>
  </property>
  <property fmtid="{D5CDD505-2E9C-101B-9397-08002B2CF9AE}" pid="8" name="MSIP_Label_7d9f76ac-c451-45d8-bdf0-9a412a8a92d4_ContentBits">
    <vt:lpwstr>2</vt:lpwstr>
  </property>
  <property fmtid="{D5CDD505-2E9C-101B-9397-08002B2CF9AE}" pid="9" name="MSIP_Label_7d9f76ac-c451-45d8-bdf0-9a412a8a92d4_Tag">
    <vt:lpwstr>10, 3, 0, 1</vt:lpwstr>
  </property>
  <property fmtid="{D5CDD505-2E9C-101B-9397-08002B2CF9AE}" pid="10" name="ContentTypeId">
    <vt:lpwstr>0x0101002CEDAFB0F1AE60458E402AFBFE4510F5</vt:lpwstr>
  </property>
  <property fmtid="{D5CDD505-2E9C-101B-9397-08002B2CF9AE}" pid="11" name="MediaServiceImageTags">
    <vt:lpwstr/>
  </property>
</Properties>
</file>